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cw2/Dropbox (MIT)/Sparse Portfolios Project/OptimalMarkowitzPortfolios.jl/results/"/>
    </mc:Choice>
  </mc:AlternateContent>
  <xr:revisionPtr revIDLastSave="0" documentId="13_ncr:1_{5E704963-3167-6945-9A87-A1FE6130C507}" xr6:coauthVersionLast="36" xr6:coauthVersionMax="36" xr10:uidLastSave="{00000000-0000-0000-0000-000000000000}"/>
  <bookViews>
    <workbookView xWindow="0" yWindow="460" windowWidth="33600" windowHeight="20540" activeTab="6" xr2:uid="{00000000-000D-0000-FFFF-FFFF00000000}"/>
  </bookViews>
  <sheets>
    <sheet name="200_+" sheetId="1" r:id="rId1"/>
    <sheet name="300_+" sheetId="3" r:id="rId2"/>
    <sheet name="400_+" sheetId="4" r:id="rId3"/>
    <sheet name="Overall" sheetId="2" r:id="rId4"/>
    <sheet name="200_+l" sheetId="5" r:id="rId5"/>
    <sheet name="Overall_l" sheetId="6" r:id="rId6"/>
    <sheet name="200_+_noddterm" sheetId="7" r:id="rId7"/>
  </sheets>
  <definedNames>
    <definedName name="_xlnm._FilterDatabase" localSheetId="6" hidden="1">'200_+_noddterm'!$K$1:$K$64</definedName>
    <definedName name="_xlnm._FilterDatabase" localSheetId="4" hidden="1">'200_+l'!$K$1:$K$64</definedName>
    <definedName name="_xlnm._FilterDatabase" localSheetId="1" hidden="1">'300_+'!$J$1:$J$400</definedName>
    <definedName name="_xlnm._FilterDatabase" localSheetId="2" hidden="1">'400_+'!$J$1:$J$400</definedName>
  </definedNames>
  <calcPr calcId="181029"/>
</workbook>
</file>

<file path=xl/calcChain.xml><?xml version="1.0" encoding="utf-8"?>
<calcChain xmlns="http://schemas.openxmlformats.org/spreadsheetml/2006/main">
  <c r="I53" i="7" l="1"/>
  <c r="Q53" i="7" s="1"/>
  <c r="I52" i="7"/>
  <c r="O52" i="7" s="1"/>
  <c r="I51" i="7"/>
  <c r="R51" i="7" s="1"/>
  <c r="I50" i="7"/>
  <c r="U50" i="7" s="1"/>
  <c r="I49" i="7"/>
  <c r="S49" i="7" s="1"/>
  <c r="I48" i="7"/>
  <c r="O48" i="7" s="1"/>
  <c r="I47" i="7"/>
  <c r="R47" i="7" s="1"/>
  <c r="I46" i="7"/>
  <c r="I45" i="7"/>
  <c r="O45" i="7" s="1"/>
  <c r="I44" i="7"/>
  <c r="O44" i="7" s="1"/>
  <c r="I43" i="7"/>
  <c r="R43" i="7" s="1"/>
  <c r="I42" i="7"/>
  <c r="I41" i="7"/>
  <c r="N41" i="7" s="1"/>
  <c r="I40" i="7"/>
  <c r="O40" i="7" s="1"/>
  <c r="I39" i="7"/>
  <c r="R39" i="7" s="1"/>
  <c r="I38" i="7"/>
  <c r="W38" i="7" s="1"/>
  <c r="I37" i="7"/>
  <c r="Q37" i="7" s="1"/>
  <c r="I36" i="7"/>
  <c r="O36" i="7" s="1"/>
  <c r="I35" i="7"/>
  <c r="R35" i="7" s="1"/>
  <c r="I34" i="7"/>
  <c r="I33" i="7"/>
  <c r="S33" i="7" s="1"/>
  <c r="I32" i="7"/>
  <c r="O32" i="7" s="1"/>
  <c r="I31" i="7"/>
  <c r="R31" i="7" s="1"/>
  <c r="I30" i="7"/>
  <c r="I29" i="7"/>
  <c r="Q29" i="7" s="1"/>
  <c r="I28" i="7"/>
  <c r="O28" i="7" s="1"/>
  <c r="I27" i="7"/>
  <c r="R27" i="7" s="1"/>
  <c r="I26" i="7"/>
  <c r="W26" i="7" s="1"/>
  <c r="I25" i="7"/>
  <c r="P25" i="7" s="1"/>
  <c r="I24" i="7"/>
  <c r="O24" i="7" s="1"/>
  <c r="I23" i="7"/>
  <c r="R23" i="7" s="1"/>
  <c r="I22" i="7"/>
  <c r="W22" i="7" s="1"/>
  <c r="I21" i="7"/>
  <c r="M21" i="7" s="1"/>
  <c r="I20" i="7"/>
  <c r="O20" i="7" s="1"/>
  <c r="I19" i="7"/>
  <c r="R19" i="7" s="1"/>
  <c r="I18" i="7"/>
  <c r="I17" i="7"/>
  <c r="M17" i="7" s="1"/>
  <c r="I16" i="7"/>
  <c r="O16" i="7" s="1"/>
  <c r="I15" i="7"/>
  <c r="R15" i="7" s="1"/>
  <c r="I14" i="7"/>
  <c r="W14" i="7" s="1"/>
  <c r="I13" i="7"/>
  <c r="S13" i="7" s="1"/>
  <c r="I12" i="7"/>
  <c r="O12" i="7" s="1"/>
  <c r="I11" i="7"/>
  <c r="R11" i="7" s="1"/>
  <c r="I10" i="7"/>
  <c r="I9" i="7"/>
  <c r="Q9" i="7" s="1"/>
  <c r="I8" i="7"/>
  <c r="O8" i="7" s="1"/>
  <c r="I7" i="7"/>
  <c r="R7" i="7" s="1"/>
  <c r="I6" i="7"/>
  <c r="I5" i="7"/>
  <c r="P5" i="7" s="1"/>
  <c r="I4" i="7"/>
  <c r="O4" i="7" s="1"/>
  <c r="S16" i="7" l="1"/>
  <c r="T16" i="7"/>
  <c r="R16" i="7"/>
  <c r="S24" i="7"/>
  <c r="Q17" i="7"/>
  <c r="Q44" i="7"/>
  <c r="S44" i="7"/>
  <c r="P37" i="7"/>
  <c r="T44" i="7"/>
  <c r="T12" i="7"/>
  <c r="N21" i="7"/>
  <c r="P28" i="7"/>
  <c r="Q21" i="7"/>
  <c r="P16" i="7"/>
  <c r="S21" i="7"/>
  <c r="S40" i="7"/>
  <c r="P41" i="7"/>
  <c r="R24" i="7"/>
  <c r="S39" i="7"/>
  <c r="P12" i="7"/>
  <c r="O17" i="7"/>
  <c r="Q12" i="7"/>
  <c r="P17" i="7"/>
  <c r="R32" i="7"/>
  <c r="P45" i="7"/>
  <c r="R40" i="7"/>
  <c r="T20" i="7"/>
  <c r="P36" i="7"/>
  <c r="R36" i="7"/>
  <c r="S27" i="7"/>
  <c r="T32" i="7"/>
  <c r="S37" i="7"/>
  <c r="Q41" i="7"/>
  <c r="S41" i="7"/>
  <c r="T27" i="7"/>
  <c r="S23" i="7"/>
  <c r="T47" i="7"/>
  <c r="T23" i="7"/>
  <c r="T7" i="7"/>
  <c r="Q16" i="7"/>
  <c r="S20" i="7"/>
  <c r="Q28" i="7"/>
  <c r="T39" i="7"/>
  <c r="S43" i="7"/>
  <c r="P48" i="7"/>
  <c r="T43" i="7"/>
  <c r="Q48" i="7"/>
  <c r="T48" i="7"/>
  <c r="O21" i="7"/>
  <c r="Q25" i="7"/>
  <c r="M37" i="7"/>
  <c r="M5" i="7"/>
  <c r="Q5" i="7"/>
  <c r="R12" i="7"/>
  <c r="S5" i="7"/>
  <c r="S12" i="7"/>
  <c r="N17" i="7"/>
  <c r="P21" i="7"/>
  <c r="S25" i="7"/>
  <c r="P32" i="7"/>
  <c r="N37" i="7"/>
  <c r="M41" i="7"/>
  <c r="Q32" i="7"/>
  <c r="O37" i="7"/>
  <c r="O41" i="7"/>
  <c r="S15" i="7"/>
  <c r="M29" i="7"/>
  <c r="Q45" i="7"/>
  <c r="P52" i="7"/>
  <c r="P4" i="7"/>
  <c r="N9" i="7"/>
  <c r="Q4" i="7"/>
  <c r="O9" i="7"/>
  <c r="T15" i="7"/>
  <c r="P24" i="7"/>
  <c r="S35" i="7"/>
  <c r="T40" i="7"/>
  <c r="S45" i="7"/>
  <c r="M49" i="7"/>
  <c r="Q52" i="7"/>
  <c r="N29" i="7"/>
  <c r="R4" i="7"/>
  <c r="S7" i="7"/>
  <c r="P9" i="7"/>
  <c r="S17" i="7"/>
  <c r="Q24" i="7"/>
  <c r="O29" i="7"/>
  <c r="S32" i="7"/>
  <c r="T35" i="7"/>
  <c r="P44" i="7"/>
  <c r="N49" i="7"/>
  <c r="R52" i="7"/>
  <c r="P29" i="7"/>
  <c r="O49" i="7"/>
  <c r="S52" i="7"/>
  <c r="R44" i="7"/>
  <c r="S47" i="7"/>
  <c r="P49" i="7"/>
  <c r="T52" i="7"/>
  <c r="M9" i="7"/>
  <c r="S4" i="7"/>
  <c r="T4" i="7"/>
  <c r="P8" i="7"/>
  <c r="N13" i="7"/>
  <c r="S19" i="7"/>
  <c r="T24" i="7"/>
  <c r="S29" i="7"/>
  <c r="M33" i="7"/>
  <c r="Q36" i="7"/>
  <c r="Q49" i="7"/>
  <c r="S9" i="7"/>
  <c r="M13" i="7"/>
  <c r="O13" i="7"/>
  <c r="N33" i="7"/>
  <c r="M53" i="7"/>
  <c r="T19" i="7"/>
  <c r="M25" i="7"/>
  <c r="O33" i="7"/>
  <c r="S36" i="7"/>
  <c r="N53" i="7"/>
  <c r="Q8" i="7"/>
  <c r="N5" i="7"/>
  <c r="R8" i="7"/>
  <c r="S11" i="7"/>
  <c r="P13" i="7"/>
  <c r="O5" i="7"/>
  <c r="S8" i="7"/>
  <c r="T11" i="7"/>
  <c r="Q13" i="7"/>
  <c r="P20" i="7"/>
  <c r="M45" i="7"/>
  <c r="O53" i="7"/>
  <c r="N25" i="7"/>
  <c r="R28" i="7"/>
  <c r="S31" i="7"/>
  <c r="P33" i="7"/>
  <c r="T36" i="7"/>
  <c r="T8" i="7"/>
  <c r="Q20" i="7"/>
  <c r="O25" i="7"/>
  <c r="S28" i="7"/>
  <c r="T31" i="7"/>
  <c r="Q33" i="7"/>
  <c r="P40" i="7"/>
  <c r="N45" i="7"/>
  <c r="R48" i="7"/>
  <c r="S51" i="7"/>
  <c r="P53" i="7"/>
  <c r="R20" i="7"/>
  <c r="T28" i="7"/>
  <c r="Q40" i="7"/>
  <c r="S48" i="7"/>
  <c r="T51" i="7"/>
  <c r="U10" i="7"/>
  <c r="P10" i="7"/>
  <c r="T10" i="7"/>
  <c r="X10" i="7"/>
  <c r="K10" i="7"/>
  <c r="S10" i="7"/>
  <c r="R10" i="7"/>
  <c r="Q10" i="7"/>
  <c r="O10" i="7"/>
  <c r="N10" i="7"/>
  <c r="M10" i="7"/>
  <c r="L10" i="7"/>
  <c r="U46" i="7"/>
  <c r="W46" i="7"/>
  <c r="T46" i="7"/>
  <c r="S46" i="7"/>
  <c r="R46" i="7"/>
  <c r="Q46" i="7"/>
  <c r="P46" i="7"/>
  <c r="X46" i="7"/>
  <c r="O46" i="7"/>
  <c r="N46" i="7"/>
  <c r="M46" i="7"/>
  <c r="L46" i="7"/>
  <c r="K46" i="7"/>
  <c r="U6" i="7"/>
  <c r="T6" i="7"/>
  <c r="S6" i="7"/>
  <c r="R6" i="7"/>
  <c r="N6" i="7"/>
  <c r="Q6" i="7"/>
  <c r="P6" i="7"/>
  <c r="O6" i="7"/>
  <c r="M6" i="7"/>
  <c r="X6" i="7"/>
  <c r="K6" i="7"/>
  <c r="L6" i="7"/>
  <c r="U30" i="7"/>
  <c r="M30" i="7"/>
  <c r="T30" i="7"/>
  <c r="X30" i="7"/>
  <c r="S30" i="7"/>
  <c r="R30" i="7"/>
  <c r="Q30" i="7"/>
  <c r="P30" i="7"/>
  <c r="O30" i="7"/>
  <c r="N30" i="7"/>
  <c r="L30" i="7"/>
  <c r="K30" i="7"/>
  <c r="W6" i="7"/>
  <c r="W30" i="7"/>
  <c r="U38" i="7"/>
  <c r="T38" i="7"/>
  <c r="S38" i="7"/>
  <c r="P38" i="7"/>
  <c r="R38" i="7"/>
  <c r="Q38" i="7"/>
  <c r="N38" i="7"/>
  <c r="O38" i="7"/>
  <c r="M38" i="7"/>
  <c r="X38" i="7"/>
  <c r="K38" i="7"/>
  <c r="L38" i="7"/>
  <c r="U14" i="7"/>
  <c r="S14" i="7"/>
  <c r="P14" i="7"/>
  <c r="X14" i="7"/>
  <c r="K14" i="7"/>
  <c r="T14" i="7"/>
  <c r="R14" i="7"/>
  <c r="Q14" i="7"/>
  <c r="O14" i="7"/>
  <c r="N14" i="7"/>
  <c r="M14" i="7"/>
  <c r="L14" i="7"/>
  <c r="U22" i="7"/>
  <c r="T22" i="7"/>
  <c r="S22" i="7"/>
  <c r="N22" i="7"/>
  <c r="R22" i="7"/>
  <c r="Q22" i="7"/>
  <c r="P22" i="7"/>
  <c r="O22" i="7"/>
  <c r="M22" i="7"/>
  <c r="L22" i="7"/>
  <c r="X22" i="7"/>
  <c r="K22" i="7"/>
  <c r="U18" i="7"/>
  <c r="T18" i="7"/>
  <c r="N18" i="7"/>
  <c r="S18" i="7"/>
  <c r="R18" i="7"/>
  <c r="M18" i="7"/>
  <c r="Q18" i="7"/>
  <c r="P18" i="7"/>
  <c r="X18" i="7"/>
  <c r="K18" i="7"/>
  <c r="O18" i="7"/>
  <c r="L18" i="7"/>
  <c r="U42" i="7"/>
  <c r="T42" i="7"/>
  <c r="S42" i="7"/>
  <c r="M42" i="7"/>
  <c r="R42" i="7"/>
  <c r="P42" i="7"/>
  <c r="X42" i="7"/>
  <c r="K42" i="7"/>
  <c r="Q42" i="7"/>
  <c r="O42" i="7"/>
  <c r="N42" i="7"/>
  <c r="L42" i="7"/>
  <c r="U34" i="7"/>
  <c r="N34" i="7"/>
  <c r="X34" i="7"/>
  <c r="K34" i="7"/>
  <c r="T34" i="7"/>
  <c r="S34" i="7"/>
  <c r="P34" i="7"/>
  <c r="R34" i="7"/>
  <c r="Q34" i="7"/>
  <c r="O34" i="7"/>
  <c r="M34" i="7"/>
  <c r="L34" i="7"/>
  <c r="W10" i="7"/>
  <c r="W18" i="7"/>
  <c r="W34" i="7"/>
  <c r="W42" i="7"/>
  <c r="U26" i="7"/>
  <c r="M26" i="7"/>
  <c r="T26" i="7"/>
  <c r="S26" i="7"/>
  <c r="P26" i="7"/>
  <c r="X26" i="7"/>
  <c r="K26" i="7"/>
  <c r="R26" i="7"/>
  <c r="N26" i="7"/>
  <c r="Q26" i="7"/>
  <c r="O26" i="7"/>
  <c r="L26" i="7"/>
  <c r="K50" i="7"/>
  <c r="X50" i="7"/>
  <c r="U7" i="7"/>
  <c r="U11" i="7"/>
  <c r="U15" i="7"/>
  <c r="U19" i="7"/>
  <c r="U23" i="7"/>
  <c r="U27" i="7"/>
  <c r="U31" i="7"/>
  <c r="U35" i="7"/>
  <c r="U39" i="7"/>
  <c r="U43" i="7"/>
  <c r="U47" i="7"/>
  <c r="L50" i="7"/>
  <c r="U51" i="7"/>
  <c r="W15" i="7"/>
  <c r="M50" i="7"/>
  <c r="W51" i="7"/>
  <c r="W11" i="7"/>
  <c r="W47" i="7"/>
  <c r="K31" i="7"/>
  <c r="X31" i="7"/>
  <c r="K47" i="7"/>
  <c r="X47" i="7"/>
  <c r="W50" i="7"/>
  <c r="W7" i="7"/>
  <c r="W39" i="7"/>
  <c r="K15" i="7"/>
  <c r="X15" i="7"/>
  <c r="K43" i="7"/>
  <c r="X43" i="7"/>
  <c r="N50" i="7"/>
  <c r="K51" i="7"/>
  <c r="X51" i="7"/>
  <c r="U4" i="7"/>
  <c r="R5" i="7"/>
  <c r="L7" i="7"/>
  <c r="U8" i="7"/>
  <c r="R9" i="7"/>
  <c r="L11" i="7"/>
  <c r="U12" i="7"/>
  <c r="R13" i="7"/>
  <c r="L15" i="7"/>
  <c r="U16" i="7"/>
  <c r="R17" i="7"/>
  <c r="L19" i="7"/>
  <c r="U20" i="7"/>
  <c r="R21" i="7"/>
  <c r="L23" i="7"/>
  <c r="U24" i="7"/>
  <c r="R25" i="7"/>
  <c r="L27" i="7"/>
  <c r="U28" i="7"/>
  <c r="R29" i="7"/>
  <c r="L31" i="7"/>
  <c r="U32" i="7"/>
  <c r="R33" i="7"/>
  <c r="L35" i="7"/>
  <c r="U36" i="7"/>
  <c r="R37" i="7"/>
  <c r="L39" i="7"/>
  <c r="U40" i="7"/>
  <c r="R41" i="7"/>
  <c r="L43" i="7"/>
  <c r="U44" i="7"/>
  <c r="R45" i="7"/>
  <c r="L47" i="7"/>
  <c r="U48" i="7"/>
  <c r="R49" i="7"/>
  <c r="O50" i="7"/>
  <c r="L51" i="7"/>
  <c r="U52" i="7"/>
  <c r="R53" i="7"/>
  <c r="W35" i="7"/>
  <c r="K11" i="7"/>
  <c r="X11" i="7"/>
  <c r="X39" i="7"/>
  <c r="M19" i="7"/>
  <c r="W20" i="7"/>
  <c r="P50" i="7"/>
  <c r="M51" i="7"/>
  <c r="W52" i="7"/>
  <c r="S53" i="7"/>
  <c r="W23" i="7"/>
  <c r="M7" i="7"/>
  <c r="W8" i="7"/>
  <c r="M31" i="7"/>
  <c r="W32" i="7"/>
  <c r="M35" i="7"/>
  <c r="M47" i="7"/>
  <c r="W48" i="7"/>
  <c r="X4" i="7"/>
  <c r="N7" i="7"/>
  <c r="X8" i="7"/>
  <c r="T9" i="7"/>
  <c r="N11" i="7"/>
  <c r="X12" i="7"/>
  <c r="T13" i="7"/>
  <c r="N15" i="7"/>
  <c r="X16" i="7"/>
  <c r="T17" i="7"/>
  <c r="N19" i="7"/>
  <c r="K20" i="7"/>
  <c r="X20" i="7"/>
  <c r="T21" i="7"/>
  <c r="N23" i="7"/>
  <c r="K24" i="7"/>
  <c r="X24" i="7"/>
  <c r="T25" i="7"/>
  <c r="N27" i="7"/>
  <c r="K28" i="7"/>
  <c r="X28" i="7"/>
  <c r="T29" i="7"/>
  <c r="N31" i="7"/>
  <c r="K32" i="7"/>
  <c r="X32" i="7"/>
  <c r="T33" i="7"/>
  <c r="N35" i="7"/>
  <c r="K36" i="7"/>
  <c r="X36" i="7"/>
  <c r="T37" i="7"/>
  <c r="N39" i="7"/>
  <c r="K40" i="7"/>
  <c r="X40" i="7"/>
  <c r="T41" i="7"/>
  <c r="N43" i="7"/>
  <c r="K44" i="7"/>
  <c r="X44" i="7"/>
  <c r="T45" i="7"/>
  <c r="N47" i="7"/>
  <c r="K48" i="7"/>
  <c r="X48" i="7"/>
  <c r="T49" i="7"/>
  <c r="Q50" i="7"/>
  <c r="N51" i="7"/>
  <c r="K52" i="7"/>
  <c r="X52" i="7"/>
  <c r="T53" i="7"/>
  <c r="W19" i="7"/>
  <c r="K7" i="7"/>
  <c r="X7" i="7"/>
  <c r="K27" i="7"/>
  <c r="X27" i="7"/>
  <c r="W4" i="7"/>
  <c r="M23" i="7"/>
  <c r="W24" i="7"/>
  <c r="K4" i="7"/>
  <c r="T5" i="7"/>
  <c r="K8" i="7"/>
  <c r="K12" i="7"/>
  <c r="K16" i="7"/>
  <c r="L4" i="7"/>
  <c r="U5" i="7"/>
  <c r="O7" i="7"/>
  <c r="L8" i="7"/>
  <c r="U9" i="7"/>
  <c r="O11" i="7"/>
  <c r="L12" i="7"/>
  <c r="U13" i="7"/>
  <c r="O15" i="7"/>
  <c r="L16" i="7"/>
  <c r="U17" i="7"/>
  <c r="O19" i="7"/>
  <c r="L20" i="7"/>
  <c r="U21" i="7"/>
  <c r="O23" i="7"/>
  <c r="L24" i="7"/>
  <c r="U25" i="7"/>
  <c r="O27" i="7"/>
  <c r="L28" i="7"/>
  <c r="U29" i="7"/>
  <c r="O31" i="7"/>
  <c r="L32" i="7"/>
  <c r="U33" i="7"/>
  <c r="O35" i="7"/>
  <c r="L36" i="7"/>
  <c r="U37" i="7"/>
  <c r="O39" i="7"/>
  <c r="L40" i="7"/>
  <c r="U41" i="7"/>
  <c r="O43" i="7"/>
  <c r="L44" i="7"/>
  <c r="U45" i="7"/>
  <c r="O47" i="7"/>
  <c r="L48" i="7"/>
  <c r="U49" i="7"/>
  <c r="R50" i="7"/>
  <c r="O51" i="7"/>
  <c r="L52" i="7"/>
  <c r="U53" i="7"/>
  <c r="W31" i="7"/>
  <c r="W43" i="7"/>
  <c r="K23" i="7"/>
  <c r="X23" i="7"/>
  <c r="M27" i="7"/>
  <c r="W28" i="7"/>
  <c r="W36" i="7"/>
  <c r="M39" i="7"/>
  <c r="W44" i="7"/>
  <c r="W5" i="7"/>
  <c r="M8" i="7"/>
  <c r="W13" i="7"/>
  <c r="P15" i="7"/>
  <c r="M16" i="7"/>
  <c r="W17" i="7"/>
  <c r="P19" i="7"/>
  <c r="M20" i="7"/>
  <c r="W21" i="7"/>
  <c r="P23" i="7"/>
  <c r="P27" i="7"/>
  <c r="M28" i="7"/>
  <c r="W29" i="7"/>
  <c r="P31" i="7"/>
  <c r="W33" i="7"/>
  <c r="P35" i="7"/>
  <c r="M36" i="7"/>
  <c r="W37" i="7"/>
  <c r="P39" i="7"/>
  <c r="M40" i="7"/>
  <c r="W41" i="7"/>
  <c r="P43" i="7"/>
  <c r="M44" i="7"/>
  <c r="W45" i="7"/>
  <c r="P47" i="7"/>
  <c r="M48" i="7"/>
  <c r="W49" i="7"/>
  <c r="S50" i="7"/>
  <c r="P51" i="7"/>
  <c r="M52" i="7"/>
  <c r="W53" i="7"/>
  <c r="K19" i="7"/>
  <c r="X19" i="7"/>
  <c r="X35" i="7"/>
  <c r="M15" i="7"/>
  <c r="M4" i="7"/>
  <c r="P7" i="7"/>
  <c r="M24" i="7"/>
  <c r="W25" i="7"/>
  <c r="M32" i="7"/>
  <c r="N4" i="7"/>
  <c r="K5" i="7"/>
  <c r="X5" i="7"/>
  <c r="Q7" i="7"/>
  <c r="N8" i="7"/>
  <c r="K9" i="7"/>
  <c r="X9" i="7"/>
  <c r="Q11" i="7"/>
  <c r="N12" i="7"/>
  <c r="K13" i="7"/>
  <c r="X13" i="7"/>
  <c r="Q15" i="7"/>
  <c r="N16" i="7"/>
  <c r="K17" i="7"/>
  <c r="X17" i="7"/>
  <c r="Q19" i="7"/>
  <c r="N20" i="7"/>
  <c r="K21" i="7"/>
  <c r="X21" i="7"/>
  <c r="Q23" i="7"/>
  <c r="N24" i="7"/>
  <c r="K25" i="7"/>
  <c r="X25" i="7"/>
  <c r="Q27" i="7"/>
  <c r="N28" i="7"/>
  <c r="K29" i="7"/>
  <c r="X29" i="7"/>
  <c r="Q31" i="7"/>
  <c r="N32" i="7"/>
  <c r="K33" i="7"/>
  <c r="X33" i="7"/>
  <c r="Q35" i="7"/>
  <c r="N36" i="7"/>
  <c r="K37" i="7"/>
  <c r="X37" i="7"/>
  <c r="Q39" i="7"/>
  <c r="N40" i="7"/>
  <c r="K41" i="7"/>
  <c r="X41" i="7"/>
  <c r="Q43" i="7"/>
  <c r="N44" i="7"/>
  <c r="K45" i="7"/>
  <c r="X45" i="7"/>
  <c r="Q47" i="7"/>
  <c r="N48" i="7"/>
  <c r="K49" i="7"/>
  <c r="X49" i="7"/>
  <c r="T50" i="7"/>
  <c r="Q51" i="7"/>
  <c r="N52" i="7"/>
  <c r="K53" i="7"/>
  <c r="Z53" i="7" s="1"/>
  <c r="X53" i="7"/>
  <c r="W27" i="7"/>
  <c r="K35" i="7"/>
  <c r="K39" i="7"/>
  <c r="M11" i="7"/>
  <c r="W12" i="7"/>
  <c r="W16" i="7"/>
  <c r="W40" i="7"/>
  <c r="M43" i="7"/>
  <c r="W9" i="7"/>
  <c r="P11" i="7"/>
  <c r="M12" i="7"/>
  <c r="L5" i="7"/>
  <c r="L9" i="7"/>
  <c r="L13" i="7"/>
  <c r="L17" i="7"/>
  <c r="L21" i="7"/>
  <c r="L25" i="7"/>
  <c r="L29" i="7"/>
  <c r="L33" i="7"/>
  <c r="L37" i="7"/>
  <c r="L41" i="7"/>
  <c r="L45" i="7"/>
  <c r="L49" i="7"/>
  <c r="L53" i="7"/>
  <c r="E26" i="2"/>
  <c r="E25" i="2"/>
  <c r="Q55" i="7" l="1"/>
  <c r="K55" i="7"/>
  <c r="T55" i="7"/>
  <c r="N55" i="7"/>
  <c r="Z45" i="7"/>
  <c r="Z38" i="7"/>
  <c r="Z39" i="7"/>
  <c r="Z52" i="7"/>
  <c r="Z9" i="7"/>
  <c r="Z6" i="7"/>
  <c r="Z40" i="7"/>
  <c r="Z24" i="7"/>
  <c r="Z51" i="7"/>
  <c r="Z47" i="7"/>
  <c r="Z27" i="7"/>
  <c r="Z49" i="7"/>
  <c r="Z37" i="7"/>
  <c r="Z25" i="7"/>
  <c r="Z13" i="7"/>
  <c r="Z31" i="7"/>
  <c r="Z36" i="7"/>
  <c r="Z4" i="7"/>
  <c r="Z7" i="7"/>
  <c r="Z42" i="7"/>
  <c r="Z22" i="7"/>
  <c r="Z10" i="7"/>
  <c r="Z16" i="7"/>
  <c r="Z44" i="7"/>
  <c r="Z32" i="7"/>
  <c r="Z20" i="7"/>
  <c r="Z15" i="7"/>
  <c r="Z43" i="7"/>
  <c r="Z18" i="7"/>
  <c r="Z35" i="7"/>
  <c r="Z33" i="7"/>
  <c r="Z21" i="7"/>
  <c r="Z48" i="7"/>
  <c r="Z8" i="7"/>
  <c r="Z11" i="7"/>
  <c r="Z46" i="7"/>
  <c r="Z19" i="7"/>
  <c r="Z28" i="7"/>
  <c r="Z34" i="7"/>
  <c r="Z30" i="7"/>
  <c r="Z12" i="7"/>
  <c r="Z41" i="7"/>
  <c r="Z29" i="7"/>
  <c r="Z17" i="7"/>
  <c r="Z5" i="7"/>
  <c r="Z23" i="7"/>
  <c r="Z50" i="7"/>
  <c r="Z14" i="7"/>
  <c r="Z26" i="7"/>
  <c r="N9" i="6"/>
  <c r="N8" i="6"/>
  <c r="N7" i="6"/>
  <c r="N6" i="6"/>
  <c r="N5" i="6"/>
  <c r="N4" i="6"/>
  <c r="I63" i="5" l="1"/>
  <c r="I62" i="5"/>
  <c r="I61" i="5"/>
  <c r="I60" i="5"/>
  <c r="S60" i="5" s="1"/>
  <c r="I59" i="5"/>
  <c r="T59" i="5" s="1"/>
  <c r="I58" i="5"/>
  <c r="I57" i="5"/>
  <c r="R57" i="5" s="1"/>
  <c r="I56" i="5"/>
  <c r="X56" i="5" s="1"/>
  <c r="I55" i="5"/>
  <c r="I54" i="5"/>
  <c r="I53" i="5"/>
  <c r="Y53" i="5" s="1"/>
  <c r="I52" i="5"/>
  <c r="Y52" i="5" s="1"/>
  <c r="I51" i="5"/>
  <c r="I50" i="5"/>
  <c r="N50" i="5" s="1"/>
  <c r="I49" i="5"/>
  <c r="I48" i="5"/>
  <c r="I47" i="5"/>
  <c r="S58" i="5"/>
  <c r="R62" i="5"/>
  <c r="L63" i="5"/>
  <c r="I46" i="5"/>
  <c r="T46" i="5" s="1"/>
  <c r="I45" i="5"/>
  <c r="R45" i="5" s="1"/>
  <c r="I43" i="5"/>
  <c r="M43" i="5" s="1"/>
  <c r="I42" i="5"/>
  <c r="N42" i="5" s="1"/>
  <c r="I41" i="5"/>
  <c r="R41" i="5" s="1"/>
  <c r="I40" i="5"/>
  <c r="Q40" i="5" s="1"/>
  <c r="I39" i="5"/>
  <c r="S39" i="5" s="1"/>
  <c r="I38" i="5"/>
  <c r="R38" i="5" s="1"/>
  <c r="I37" i="5"/>
  <c r="Y37" i="5" s="1"/>
  <c r="I36" i="5"/>
  <c r="X36" i="5" s="1"/>
  <c r="I35" i="5"/>
  <c r="S35" i="5" s="1"/>
  <c r="I34" i="5"/>
  <c r="T34" i="5" s="1"/>
  <c r="I33" i="5"/>
  <c r="Y33" i="5" s="1"/>
  <c r="I32" i="5"/>
  <c r="Y32" i="5" s="1"/>
  <c r="I31" i="5"/>
  <c r="P31" i="5" s="1"/>
  <c r="I30" i="5"/>
  <c r="Q30" i="5" s="1"/>
  <c r="I29" i="5"/>
  <c r="M29" i="5" s="1"/>
  <c r="I28" i="5"/>
  <c r="I27" i="5"/>
  <c r="I24" i="5"/>
  <c r="R24" i="5" s="1"/>
  <c r="I25" i="5"/>
  <c r="X25" i="5" s="1"/>
  <c r="I26" i="5"/>
  <c r="Y26" i="5" s="1"/>
  <c r="I44" i="5"/>
  <c r="Y44" i="5" s="1"/>
  <c r="N63" i="5"/>
  <c r="M63" i="5"/>
  <c r="O62" i="5"/>
  <c r="N62" i="5"/>
  <c r="M62" i="5"/>
  <c r="L62" i="5"/>
  <c r="S61" i="5"/>
  <c r="R61" i="5"/>
  <c r="Q61" i="5"/>
  <c r="P61" i="5"/>
  <c r="O61" i="5"/>
  <c r="N61" i="5"/>
  <c r="M61" i="5"/>
  <c r="L61" i="5"/>
  <c r="M60" i="5"/>
  <c r="L60" i="5"/>
  <c r="X59" i="5"/>
  <c r="S59" i="5"/>
  <c r="R59" i="5"/>
  <c r="Q59" i="5"/>
  <c r="P59" i="5"/>
  <c r="O59" i="5"/>
  <c r="N59" i="5"/>
  <c r="M59" i="5"/>
  <c r="L59" i="5"/>
  <c r="X58" i="5"/>
  <c r="T58" i="5"/>
  <c r="X57" i="5"/>
  <c r="S57" i="5"/>
  <c r="R56" i="5"/>
  <c r="Y55" i="5"/>
  <c r="S55" i="5"/>
  <c r="T54" i="5"/>
  <c r="P51" i="5"/>
  <c r="O51" i="5"/>
  <c r="N51" i="5"/>
  <c r="M51" i="5"/>
  <c r="L51" i="5"/>
  <c r="Q50" i="5"/>
  <c r="P50" i="5"/>
  <c r="O50" i="5"/>
  <c r="M50" i="5"/>
  <c r="L50" i="5"/>
  <c r="S49" i="5"/>
  <c r="R49" i="5"/>
  <c r="Q49" i="5"/>
  <c r="P49" i="5"/>
  <c r="O49" i="5"/>
  <c r="N49" i="5"/>
  <c r="M49" i="5"/>
  <c r="L49" i="5"/>
  <c r="T48" i="5"/>
  <c r="S48" i="5"/>
  <c r="R48" i="5"/>
  <c r="Q48" i="5"/>
  <c r="P48" i="5"/>
  <c r="O48" i="5"/>
  <c r="N48" i="5"/>
  <c r="M48" i="5"/>
  <c r="L48" i="5"/>
  <c r="X47" i="5"/>
  <c r="T47" i="5"/>
  <c r="S47" i="5"/>
  <c r="R47" i="5"/>
  <c r="Q47" i="5"/>
  <c r="P47" i="5"/>
  <c r="O47" i="5"/>
  <c r="N47" i="5"/>
  <c r="M47" i="5"/>
  <c r="L47" i="5"/>
  <c r="Y46" i="5"/>
  <c r="X46" i="5"/>
  <c r="R46" i="5"/>
  <c r="Q46" i="5"/>
  <c r="P46" i="5"/>
  <c r="O46" i="5"/>
  <c r="N46" i="5"/>
  <c r="M46" i="5"/>
  <c r="L46" i="5"/>
  <c r="R44" i="5"/>
  <c r="S38" i="5"/>
  <c r="P29" i="5"/>
  <c r="O29" i="5"/>
  <c r="N29" i="5"/>
  <c r="L29" i="5"/>
  <c r="R28" i="5"/>
  <c r="X27" i="5"/>
  <c r="P27" i="5"/>
  <c r="I23" i="5"/>
  <c r="I22" i="5"/>
  <c r="S22" i="5" s="1"/>
  <c r="I21" i="5"/>
  <c r="P21" i="5" s="1"/>
  <c r="I20" i="5"/>
  <c r="X20" i="5" s="1"/>
  <c r="I19" i="5"/>
  <c r="S19" i="5" s="1"/>
  <c r="I18" i="5"/>
  <c r="R18" i="5" s="1"/>
  <c r="I17" i="5"/>
  <c r="L17" i="5" s="1"/>
  <c r="I16" i="5"/>
  <c r="P16" i="5" s="1"/>
  <c r="I15" i="5"/>
  <c r="O15" i="5" s="1"/>
  <c r="I14" i="5"/>
  <c r="I13" i="5"/>
  <c r="P13" i="5" s="1"/>
  <c r="I12" i="5"/>
  <c r="L12" i="5" s="1"/>
  <c r="I11" i="5"/>
  <c r="I10" i="5"/>
  <c r="P10" i="5" s="1"/>
  <c r="I9" i="5"/>
  <c r="O9" i="5" s="1"/>
  <c r="I8" i="5"/>
  <c r="P8" i="5" s="1"/>
  <c r="I7" i="5"/>
  <c r="O7" i="5" s="1"/>
  <c r="I6" i="5"/>
  <c r="I5" i="5"/>
  <c r="P5" i="5" s="1"/>
  <c r="I4" i="5"/>
  <c r="O4" i="5" s="1"/>
  <c r="S44" i="5" l="1"/>
  <c r="O25" i="5"/>
  <c r="Q26" i="5"/>
  <c r="T25" i="5"/>
  <c r="X26" i="5"/>
  <c r="P30" i="5"/>
  <c r="L30" i="5"/>
  <c r="M30" i="5"/>
  <c r="O30" i="5"/>
  <c r="P42" i="5"/>
  <c r="P43" i="5"/>
  <c r="L26" i="5"/>
  <c r="P26" i="5"/>
  <c r="O42" i="5"/>
  <c r="AA47" i="5"/>
  <c r="O60" i="5"/>
  <c r="Q60" i="5"/>
  <c r="P60" i="5"/>
  <c r="T60" i="5"/>
  <c r="N60" i="5"/>
  <c r="R60" i="5"/>
  <c r="T57" i="5"/>
  <c r="Y56" i="5"/>
  <c r="O58" i="5"/>
  <c r="X53" i="5"/>
  <c r="O57" i="5"/>
  <c r="P58" i="5"/>
  <c r="L53" i="5"/>
  <c r="P57" i="5"/>
  <c r="Q58" i="5"/>
  <c r="Y58" i="5"/>
  <c r="Y57" i="5"/>
  <c r="S56" i="5"/>
  <c r="L58" i="5"/>
  <c r="T56" i="5"/>
  <c r="M58" i="5"/>
  <c r="N58" i="5"/>
  <c r="M53" i="5"/>
  <c r="Q57" i="5"/>
  <c r="R58" i="5"/>
  <c r="P62" i="5"/>
  <c r="S46" i="5"/>
  <c r="Y45" i="5"/>
  <c r="O45" i="5"/>
  <c r="T45" i="5"/>
  <c r="X45" i="5"/>
  <c r="P45" i="5"/>
  <c r="Q45" i="5"/>
  <c r="S45" i="5"/>
  <c r="L38" i="5"/>
  <c r="P38" i="5"/>
  <c r="Q38" i="5"/>
  <c r="R39" i="5"/>
  <c r="T39" i="5"/>
  <c r="P39" i="5"/>
  <c r="M37" i="5"/>
  <c r="P40" i="5"/>
  <c r="O37" i="5"/>
  <c r="L40" i="5"/>
  <c r="Q37" i="5"/>
  <c r="R40" i="5"/>
  <c r="R37" i="5"/>
  <c r="S40" i="5"/>
  <c r="X33" i="5"/>
  <c r="M33" i="5"/>
  <c r="P37" i="5"/>
  <c r="S37" i="5"/>
  <c r="M40" i="5"/>
  <c r="AA59" i="5"/>
  <c r="X44" i="5"/>
  <c r="X54" i="5"/>
  <c r="T55" i="5"/>
  <c r="T44" i="5"/>
  <c r="L52" i="5"/>
  <c r="Y54" i="5"/>
  <c r="X55" i="5"/>
  <c r="N52" i="5"/>
  <c r="L54" i="5"/>
  <c r="O63" i="5"/>
  <c r="M52" i="5"/>
  <c r="Q62" i="5"/>
  <c r="P63" i="5"/>
  <c r="Q63" i="5"/>
  <c r="M44" i="5"/>
  <c r="L45" i="5"/>
  <c r="Y47" i="5"/>
  <c r="X48" i="5"/>
  <c r="T49" i="5"/>
  <c r="AA49" i="5" s="1"/>
  <c r="S50" i="5"/>
  <c r="R51" i="5"/>
  <c r="Q52" i="5"/>
  <c r="P53" i="5"/>
  <c r="O54" i="5"/>
  <c r="N55" i="5"/>
  <c r="M56" i="5"/>
  <c r="L57" i="5"/>
  <c r="Y59" i="5"/>
  <c r="X60" i="5"/>
  <c r="T61" i="5"/>
  <c r="AA61" i="5" s="1"/>
  <c r="S62" i="5"/>
  <c r="R63" i="5"/>
  <c r="R50" i="5"/>
  <c r="Q51" i="5"/>
  <c r="P52" i="5"/>
  <c r="O53" i="5"/>
  <c r="N54" i="5"/>
  <c r="M55" i="5"/>
  <c r="L56" i="5"/>
  <c r="N44" i="5"/>
  <c r="M45" i="5"/>
  <c r="Y48" i="5"/>
  <c r="X49" i="5"/>
  <c r="T50" i="5"/>
  <c r="S51" i="5"/>
  <c r="R52" i="5"/>
  <c r="Q53" i="5"/>
  <c r="P54" i="5"/>
  <c r="O55" i="5"/>
  <c r="N56" i="5"/>
  <c r="M57" i="5"/>
  <c r="Y60" i="5"/>
  <c r="X61" i="5"/>
  <c r="T62" i="5"/>
  <c r="S63" i="5"/>
  <c r="L44" i="5"/>
  <c r="O44" i="5"/>
  <c r="N45" i="5"/>
  <c r="AA48" i="5"/>
  <c r="Y49" i="5"/>
  <c r="X50" i="5"/>
  <c r="T51" i="5"/>
  <c r="S52" i="5"/>
  <c r="R53" i="5"/>
  <c r="Q54" i="5"/>
  <c r="P55" i="5"/>
  <c r="O56" i="5"/>
  <c r="N57" i="5"/>
  <c r="Y61" i="5"/>
  <c r="X62" i="5"/>
  <c r="T63" i="5"/>
  <c r="P44" i="5"/>
  <c r="Y50" i="5"/>
  <c r="X51" i="5"/>
  <c r="T52" i="5"/>
  <c r="S53" i="5"/>
  <c r="R54" i="5"/>
  <c r="Q55" i="5"/>
  <c r="P56" i="5"/>
  <c r="Y62" i="5"/>
  <c r="X63" i="5"/>
  <c r="O52" i="5"/>
  <c r="N53" i="5"/>
  <c r="M54" i="5"/>
  <c r="L55" i="5"/>
  <c r="Q44" i="5"/>
  <c r="Y51" i="5"/>
  <c r="X52" i="5"/>
  <c r="T53" i="5"/>
  <c r="S54" i="5"/>
  <c r="R55" i="5"/>
  <c r="Q56" i="5"/>
  <c r="Y63" i="5"/>
  <c r="R36" i="5"/>
  <c r="T36" i="5"/>
  <c r="L39" i="5"/>
  <c r="Q42" i="5"/>
  <c r="L42" i="5"/>
  <c r="Q39" i="5"/>
  <c r="M42" i="5"/>
  <c r="Q29" i="5"/>
  <c r="Y25" i="5"/>
  <c r="L28" i="5"/>
  <c r="L31" i="5"/>
  <c r="M26" i="5"/>
  <c r="M27" i="5"/>
  <c r="N28" i="5"/>
  <c r="N31" i="5"/>
  <c r="Y35" i="5"/>
  <c r="T37" i="5"/>
  <c r="X38" i="5"/>
  <c r="X39" i="5"/>
  <c r="M41" i="5"/>
  <c r="L27" i="5"/>
  <c r="M28" i="5"/>
  <c r="M31" i="5"/>
  <c r="T38" i="5"/>
  <c r="L41" i="5"/>
  <c r="X24" i="5"/>
  <c r="N26" i="5"/>
  <c r="N27" i="5"/>
  <c r="O28" i="5"/>
  <c r="R29" i="5"/>
  <c r="O31" i="5"/>
  <c r="Y24" i="5"/>
  <c r="O26" i="5"/>
  <c r="O27" i="5"/>
  <c r="P28" i="5"/>
  <c r="S36" i="5"/>
  <c r="X37" i="5"/>
  <c r="Y38" i="5"/>
  <c r="N41" i="5"/>
  <c r="O41" i="5"/>
  <c r="L43" i="5"/>
  <c r="Q28" i="5"/>
  <c r="P25" i="5"/>
  <c r="M32" i="5"/>
  <c r="P41" i="5"/>
  <c r="Q25" i="5"/>
  <c r="R26" i="5"/>
  <c r="R27" i="5"/>
  <c r="S28" i="5"/>
  <c r="N30" i="5"/>
  <c r="N32" i="5"/>
  <c r="Y36" i="5"/>
  <c r="M38" i="5"/>
  <c r="M39" i="5"/>
  <c r="N40" i="5"/>
  <c r="Q41" i="5"/>
  <c r="N43" i="5"/>
  <c r="N38" i="5"/>
  <c r="N39" i="5"/>
  <c r="O40" i="5"/>
  <c r="O43" i="5"/>
  <c r="Q27" i="5"/>
  <c r="R25" i="5"/>
  <c r="S26" i="5"/>
  <c r="S27" i="5"/>
  <c r="S25" i="5"/>
  <c r="T26" i="5"/>
  <c r="T27" i="5"/>
  <c r="L33" i="5"/>
  <c r="N37" i="5"/>
  <c r="O38" i="5"/>
  <c r="O39" i="5"/>
  <c r="S24" i="5"/>
  <c r="X34" i="5"/>
  <c r="T35" i="5"/>
  <c r="T24" i="5"/>
  <c r="L32" i="5"/>
  <c r="Y34" i="5"/>
  <c r="X35" i="5"/>
  <c r="L34" i="5"/>
  <c r="T40" i="5"/>
  <c r="S41" i="5"/>
  <c r="R42" i="5"/>
  <c r="Q43" i="5"/>
  <c r="M24" i="5"/>
  <c r="L25" i="5"/>
  <c r="Y27" i="5"/>
  <c r="X28" i="5"/>
  <c r="T29" i="5"/>
  <c r="S30" i="5"/>
  <c r="R31" i="5"/>
  <c r="Q32" i="5"/>
  <c r="P33" i="5"/>
  <c r="O34" i="5"/>
  <c r="N35" i="5"/>
  <c r="M36" i="5"/>
  <c r="L37" i="5"/>
  <c r="Y39" i="5"/>
  <c r="X40" i="5"/>
  <c r="T41" i="5"/>
  <c r="S42" i="5"/>
  <c r="R43" i="5"/>
  <c r="T28" i="5"/>
  <c r="S29" i="5"/>
  <c r="R30" i="5"/>
  <c r="Q31" i="5"/>
  <c r="P32" i="5"/>
  <c r="O33" i="5"/>
  <c r="N34" i="5"/>
  <c r="M35" i="5"/>
  <c r="L36" i="5"/>
  <c r="N24" i="5"/>
  <c r="G6" i="6" s="1"/>
  <c r="M25" i="5"/>
  <c r="Y28" i="5"/>
  <c r="X29" i="5"/>
  <c r="T30" i="5"/>
  <c r="S31" i="5"/>
  <c r="R32" i="5"/>
  <c r="Q33" i="5"/>
  <c r="P34" i="5"/>
  <c r="O35" i="5"/>
  <c r="N36" i="5"/>
  <c r="Y40" i="5"/>
  <c r="X41" i="5"/>
  <c r="T42" i="5"/>
  <c r="S43" i="5"/>
  <c r="O24" i="5"/>
  <c r="N25" i="5"/>
  <c r="Y29" i="5"/>
  <c r="X30" i="5"/>
  <c r="T31" i="5"/>
  <c r="S32" i="5"/>
  <c r="R33" i="5"/>
  <c r="Q34" i="5"/>
  <c r="P35" i="5"/>
  <c r="O36" i="5"/>
  <c r="Y41" i="5"/>
  <c r="X42" i="5"/>
  <c r="T43" i="5"/>
  <c r="L24" i="5"/>
  <c r="P24" i="5"/>
  <c r="Y30" i="5"/>
  <c r="X31" i="5"/>
  <c r="T32" i="5"/>
  <c r="S33" i="5"/>
  <c r="R34" i="5"/>
  <c r="Q35" i="5"/>
  <c r="P36" i="5"/>
  <c r="Y42" i="5"/>
  <c r="X43" i="5"/>
  <c r="O32" i="5"/>
  <c r="N33" i="5"/>
  <c r="M34" i="5"/>
  <c r="L35" i="5"/>
  <c r="Q24" i="5"/>
  <c r="Y31" i="5"/>
  <c r="X32" i="5"/>
  <c r="T33" i="5"/>
  <c r="S34" i="5"/>
  <c r="R35" i="5"/>
  <c r="Q36" i="5"/>
  <c r="Y43" i="5"/>
  <c r="R21" i="5"/>
  <c r="S21" i="5"/>
  <c r="T21" i="5"/>
  <c r="P7" i="5"/>
  <c r="Q7" i="5"/>
  <c r="R7" i="5"/>
  <c r="T7" i="5"/>
  <c r="S16" i="5"/>
  <c r="Q10" i="5"/>
  <c r="Q13" i="5"/>
  <c r="N15" i="5"/>
  <c r="T16" i="5"/>
  <c r="R13" i="5"/>
  <c r="N10" i="5"/>
  <c r="O10" i="5"/>
  <c r="T8" i="5"/>
  <c r="R10" i="5"/>
  <c r="P15" i="5"/>
  <c r="T10" i="5"/>
  <c r="S13" i="5"/>
  <c r="Q15" i="5"/>
  <c r="T13" i="5"/>
  <c r="R15" i="5"/>
  <c r="L22" i="5"/>
  <c r="R16" i="5"/>
  <c r="X4" i="5"/>
  <c r="X9" i="5"/>
  <c r="T15" i="5"/>
  <c r="Y4" i="5"/>
  <c r="Y9" i="5"/>
  <c r="N22" i="5"/>
  <c r="T22" i="5"/>
  <c r="Y22" i="5"/>
  <c r="Q16" i="5"/>
  <c r="Q21" i="5"/>
  <c r="T19" i="5"/>
  <c r="N18" i="5"/>
  <c r="Y20" i="5"/>
  <c r="R5" i="5"/>
  <c r="S5" i="5"/>
  <c r="O18" i="5"/>
  <c r="Q5" i="5"/>
  <c r="T5" i="5"/>
  <c r="M4" i="5"/>
  <c r="Q8" i="5"/>
  <c r="L9" i="5"/>
  <c r="N4" i="5"/>
  <c r="R8" i="5"/>
  <c r="N9" i="5"/>
  <c r="N7" i="5"/>
  <c r="S8" i="5"/>
  <c r="P18" i="5"/>
  <c r="Q18" i="5"/>
  <c r="N23" i="5"/>
  <c r="T18" i="5"/>
  <c r="O23" i="5"/>
  <c r="P23" i="5"/>
  <c r="X12" i="5"/>
  <c r="S14" i="5"/>
  <c r="Q14" i="5"/>
  <c r="R14" i="5"/>
  <c r="P14" i="5"/>
  <c r="O14" i="5"/>
  <c r="N14" i="5"/>
  <c r="Y14" i="5"/>
  <c r="L14" i="5"/>
  <c r="M14" i="5"/>
  <c r="T14" i="5"/>
  <c r="S6" i="5"/>
  <c r="N6" i="5"/>
  <c r="R6" i="5"/>
  <c r="Q6" i="5"/>
  <c r="P6" i="5"/>
  <c r="O6" i="5"/>
  <c r="M6" i="5"/>
  <c r="L6" i="5"/>
  <c r="X14" i="5"/>
  <c r="T17" i="5"/>
  <c r="S17" i="5"/>
  <c r="Q17" i="5"/>
  <c r="R17" i="5"/>
  <c r="O17" i="5"/>
  <c r="P17" i="5"/>
  <c r="M17" i="5"/>
  <c r="T4" i="5"/>
  <c r="S4" i="5"/>
  <c r="R4" i="5"/>
  <c r="Q4" i="5"/>
  <c r="P4" i="5"/>
  <c r="T6" i="5"/>
  <c r="S11" i="5"/>
  <c r="Y11" i="5"/>
  <c r="L11" i="5"/>
  <c r="R11" i="5"/>
  <c r="Q11" i="5"/>
  <c r="P11" i="5"/>
  <c r="N11" i="5"/>
  <c r="O11" i="5"/>
  <c r="M11" i="5"/>
  <c r="L4" i="5"/>
  <c r="T11" i="5"/>
  <c r="N17" i="5"/>
  <c r="Y12" i="5"/>
  <c r="X6" i="5"/>
  <c r="X17" i="5"/>
  <c r="Y6" i="5"/>
  <c r="X11" i="5"/>
  <c r="Y17" i="5"/>
  <c r="Q20" i="5"/>
  <c r="O20" i="5"/>
  <c r="T20" i="5"/>
  <c r="S20" i="5"/>
  <c r="R20" i="5"/>
  <c r="P20" i="5"/>
  <c r="N20" i="5"/>
  <c r="M20" i="5"/>
  <c r="T9" i="5"/>
  <c r="S9" i="5"/>
  <c r="R9" i="5"/>
  <c r="Q9" i="5"/>
  <c r="P9" i="5"/>
  <c r="M9" i="5"/>
  <c r="L20" i="5"/>
  <c r="T12" i="5"/>
  <c r="Q12" i="5"/>
  <c r="O12" i="5"/>
  <c r="S12" i="5"/>
  <c r="R12" i="5"/>
  <c r="P12" i="5"/>
  <c r="M12" i="5"/>
  <c r="N12" i="5"/>
  <c r="X19" i="5"/>
  <c r="X22" i="5"/>
  <c r="Q23" i="5"/>
  <c r="R23" i="5"/>
  <c r="S7" i="5"/>
  <c r="S10" i="5"/>
  <c r="S15" i="5"/>
  <c r="S18" i="5"/>
  <c r="M19" i="5"/>
  <c r="M22" i="5"/>
  <c r="S23" i="5"/>
  <c r="T23" i="5"/>
  <c r="X5" i="5"/>
  <c r="L5" i="5"/>
  <c r="Y5" i="5"/>
  <c r="L8" i="5"/>
  <c r="Y8" i="5"/>
  <c r="L13" i="5"/>
  <c r="Y13" i="5"/>
  <c r="L16" i="5"/>
  <c r="Y16" i="5"/>
  <c r="O19" i="5"/>
  <c r="L21" i="5"/>
  <c r="Y21" i="5"/>
  <c r="O22" i="5"/>
  <c r="X21" i="5"/>
  <c r="M5" i="5"/>
  <c r="M8" i="5"/>
  <c r="M13" i="5"/>
  <c r="M16" i="5"/>
  <c r="P19" i="5"/>
  <c r="M21" i="5"/>
  <c r="P22" i="5"/>
  <c r="L19" i="5"/>
  <c r="Y19" i="5"/>
  <c r="X13" i="5"/>
  <c r="X16" i="5"/>
  <c r="X7" i="5"/>
  <c r="X10" i="5"/>
  <c r="N13" i="5"/>
  <c r="X15" i="5"/>
  <c r="X18" i="5"/>
  <c r="Q19" i="5"/>
  <c r="N21" i="5"/>
  <c r="Q22" i="5"/>
  <c r="X23" i="5"/>
  <c r="X8" i="5"/>
  <c r="N16" i="5"/>
  <c r="O5" i="5"/>
  <c r="L7" i="5"/>
  <c r="AA7" i="5" s="1"/>
  <c r="Y7" i="5"/>
  <c r="O8" i="5"/>
  <c r="L10" i="5"/>
  <c r="Y10" i="5"/>
  <c r="O13" i="5"/>
  <c r="L15" i="5"/>
  <c r="Y15" i="5"/>
  <c r="O16" i="5"/>
  <c r="L18" i="5"/>
  <c r="Y18" i="5"/>
  <c r="R19" i="5"/>
  <c r="O21" i="5"/>
  <c r="R22" i="5"/>
  <c r="L23" i="5"/>
  <c r="Y23" i="5"/>
  <c r="N19" i="5"/>
  <c r="N5" i="5"/>
  <c r="N8" i="5"/>
  <c r="M7" i="5"/>
  <c r="M10" i="5"/>
  <c r="M15" i="5"/>
  <c r="M18" i="5"/>
  <c r="M23" i="5"/>
  <c r="N19" i="4"/>
  <c r="O19" i="4"/>
  <c r="P19" i="4"/>
  <c r="Q19" i="4"/>
  <c r="R19" i="4"/>
  <c r="S19" i="4"/>
  <c r="N20" i="4"/>
  <c r="O20" i="4"/>
  <c r="P20" i="4"/>
  <c r="Q20" i="4"/>
  <c r="R20" i="4"/>
  <c r="S20" i="4"/>
  <c r="I6" i="6" l="1"/>
  <c r="AA4" i="5"/>
  <c r="AA12" i="5"/>
  <c r="AA37" i="5"/>
  <c r="F9" i="6"/>
  <c r="AA50" i="5"/>
  <c r="H4" i="6"/>
  <c r="E6" i="6"/>
  <c r="M7" i="6"/>
  <c r="I8" i="6"/>
  <c r="M6" i="6"/>
  <c r="K9" i="6"/>
  <c r="L8" i="6"/>
  <c r="K6" i="6"/>
  <c r="E8" i="6"/>
  <c r="I5" i="6"/>
  <c r="H7" i="6"/>
  <c r="K4" i="6"/>
  <c r="G5" i="6"/>
  <c r="J6" i="6"/>
  <c r="E5" i="6"/>
  <c r="H5" i="6"/>
  <c r="I4" i="6"/>
  <c r="E4" i="6"/>
  <c r="J4" i="6"/>
  <c r="L5" i="6"/>
  <c r="J7" i="6"/>
  <c r="F5" i="6"/>
  <c r="L4" i="6"/>
  <c r="G7" i="6"/>
  <c r="K5" i="6"/>
  <c r="M4" i="6"/>
  <c r="H6" i="6"/>
  <c r="I7" i="6"/>
  <c r="G8" i="6"/>
  <c r="AA46" i="5"/>
  <c r="K8" i="6"/>
  <c r="L7" i="6"/>
  <c r="E9" i="6"/>
  <c r="M8" i="6"/>
  <c r="L9" i="6"/>
  <c r="G4" i="6"/>
  <c r="F7" i="6"/>
  <c r="J8" i="6"/>
  <c r="F8" i="6"/>
  <c r="J9" i="6"/>
  <c r="I9" i="6"/>
  <c r="K7" i="6"/>
  <c r="F4" i="6"/>
  <c r="E7" i="6"/>
  <c r="M9" i="6"/>
  <c r="M5" i="6"/>
  <c r="F6" i="6"/>
  <c r="L6" i="6"/>
  <c r="G9" i="6"/>
  <c r="H9" i="6"/>
  <c r="J5" i="6"/>
  <c r="H8" i="6"/>
  <c r="AA60" i="5"/>
  <c r="AA20" i="5"/>
  <c r="AA17" i="5"/>
  <c r="AA18" i="5"/>
  <c r="AA11" i="5"/>
  <c r="AA15" i="5"/>
  <c r="AA16" i="5"/>
  <c r="AA21" i="5"/>
  <c r="AA14" i="5"/>
  <c r="AA19" i="5"/>
  <c r="AA13" i="5"/>
  <c r="AA9" i="5"/>
  <c r="AA10" i="5"/>
  <c r="AA6" i="5"/>
  <c r="AA8" i="5"/>
  <c r="AA5" i="5"/>
  <c r="AA58" i="5"/>
  <c r="AA56" i="5"/>
  <c r="AA39" i="5"/>
  <c r="AA63" i="5"/>
  <c r="AA26" i="5"/>
  <c r="AA57" i="5"/>
  <c r="AA55" i="5"/>
  <c r="AA45" i="5"/>
  <c r="AA54" i="5"/>
  <c r="AA53" i="5"/>
  <c r="AA52" i="5"/>
  <c r="AA51" i="5"/>
  <c r="AA62" i="5"/>
  <c r="AA44" i="5"/>
  <c r="AA27" i="5"/>
  <c r="AA38" i="5"/>
  <c r="AA34" i="5"/>
  <c r="AA36" i="5"/>
  <c r="AA31" i="5"/>
  <c r="AA35" i="5"/>
  <c r="AA43" i="5"/>
  <c r="AA33" i="5"/>
  <c r="AA24" i="5"/>
  <c r="AA25" i="5"/>
  <c r="AA30" i="5"/>
  <c r="AA42" i="5"/>
  <c r="AA32" i="5"/>
  <c r="AA29" i="5"/>
  <c r="AA41" i="5"/>
  <c r="AA28" i="5"/>
  <c r="AA40" i="5"/>
  <c r="AA23" i="5"/>
  <c r="AA22" i="5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5" i="1"/>
  <c r="Z6" i="1"/>
  <c r="Z7" i="1"/>
  <c r="Z4" i="1"/>
  <c r="O6" i="6" l="1"/>
  <c r="O4" i="6"/>
  <c r="O7" i="6"/>
  <c r="O8" i="6"/>
  <c r="O5" i="6"/>
  <c r="O9" i="6"/>
  <c r="N5" i="4"/>
  <c r="O5" i="4"/>
  <c r="P5" i="4"/>
  <c r="Q5" i="4"/>
  <c r="R5" i="4"/>
  <c r="S5" i="4"/>
  <c r="N6" i="4"/>
  <c r="O6" i="4"/>
  <c r="P6" i="4"/>
  <c r="Q6" i="4"/>
  <c r="R6" i="4"/>
  <c r="S6" i="4"/>
  <c r="N7" i="4"/>
  <c r="O7" i="4"/>
  <c r="P7" i="4"/>
  <c r="Q7" i="4"/>
  <c r="R7" i="4"/>
  <c r="S7" i="4"/>
  <c r="N8" i="4"/>
  <c r="O8" i="4"/>
  <c r="P8" i="4"/>
  <c r="Q8" i="4"/>
  <c r="R8" i="4"/>
  <c r="S8" i="4"/>
  <c r="N9" i="4"/>
  <c r="O9" i="4"/>
  <c r="P9" i="4"/>
  <c r="Q9" i="4"/>
  <c r="R9" i="4"/>
  <c r="S9" i="4"/>
  <c r="N10" i="4"/>
  <c r="O10" i="4"/>
  <c r="P10" i="4"/>
  <c r="Q10" i="4"/>
  <c r="R10" i="4"/>
  <c r="S10" i="4"/>
  <c r="N11" i="4"/>
  <c r="O11" i="4"/>
  <c r="P11" i="4"/>
  <c r="Q11" i="4"/>
  <c r="R11" i="4"/>
  <c r="S11" i="4"/>
  <c r="N12" i="4"/>
  <c r="O12" i="4"/>
  <c r="P12" i="4"/>
  <c r="Q12" i="4"/>
  <c r="R12" i="4"/>
  <c r="S12" i="4"/>
  <c r="N13" i="4"/>
  <c r="O13" i="4"/>
  <c r="P13" i="4"/>
  <c r="Q13" i="4"/>
  <c r="R13" i="4"/>
  <c r="S13" i="4"/>
  <c r="N14" i="4"/>
  <c r="O14" i="4"/>
  <c r="P14" i="4"/>
  <c r="Q14" i="4"/>
  <c r="R14" i="4"/>
  <c r="S14" i="4"/>
  <c r="N15" i="4"/>
  <c r="O15" i="4"/>
  <c r="P15" i="4"/>
  <c r="Q15" i="4"/>
  <c r="R15" i="4"/>
  <c r="S15" i="4"/>
  <c r="N16" i="4"/>
  <c r="O16" i="4"/>
  <c r="P16" i="4"/>
  <c r="Q16" i="4"/>
  <c r="R16" i="4"/>
  <c r="S16" i="4"/>
  <c r="N17" i="4"/>
  <c r="O17" i="4"/>
  <c r="P17" i="4"/>
  <c r="Q17" i="4"/>
  <c r="R17" i="4"/>
  <c r="S17" i="4"/>
  <c r="N18" i="4"/>
  <c r="O18" i="4"/>
  <c r="P18" i="4"/>
  <c r="Q18" i="4"/>
  <c r="R18" i="4"/>
  <c r="S18" i="4"/>
  <c r="N21" i="4"/>
  <c r="O21" i="4"/>
  <c r="P21" i="4"/>
  <c r="Q21" i="4"/>
  <c r="R21" i="4"/>
  <c r="S21" i="4"/>
  <c r="N22" i="4"/>
  <c r="O22" i="4"/>
  <c r="P22" i="4"/>
  <c r="Q22" i="4"/>
  <c r="R22" i="4"/>
  <c r="S22" i="4"/>
  <c r="N23" i="4"/>
  <c r="O23" i="4"/>
  <c r="P23" i="4"/>
  <c r="Q23" i="4"/>
  <c r="R23" i="4"/>
  <c r="S23" i="4"/>
  <c r="N24" i="4"/>
  <c r="O24" i="4"/>
  <c r="P24" i="4"/>
  <c r="Q24" i="4"/>
  <c r="R24" i="4"/>
  <c r="S24" i="4"/>
  <c r="N25" i="4"/>
  <c r="O25" i="4"/>
  <c r="P25" i="4"/>
  <c r="Q25" i="4"/>
  <c r="R25" i="4"/>
  <c r="S25" i="4"/>
  <c r="N26" i="4"/>
  <c r="O26" i="4"/>
  <c r="P26" i="4"/>
  <c r="Q26" i="4"/>
  <c r="R26" i="4"/>
  <c r="S26" i="4"/>
  <c r="N27" i="4"/>
  <c r="O27" i="4"/>
  <c r="P27" i="4"/>
  <c r="Q27" i="4"/>
  <c r="R27" i="4"/>
  <c r="S27" i="4"/>
  <c r="N28" i="4"/>
  <c r="O28" i="4"/>
  <c r="P28" i="4"/>
  <c r="Q28" i="4"/>
  <c r="R28" i="4"/>
  <c r="S28" i="4"/>
  <c r="N29" i="4"/>
  <c r="O29" i="4"/>
  <c r="P29" i="4"/>
  <c r="Q29" i="4"/>
  <c r="R29" i="4"/>
  <c r="S29" i="4"/>
  <c r="N30" i="4"/>
  <c r="O30" i="4"/>
  <c r="P30" i="4"/>
  <c r="Q30" i="4"/>
  <c r="R30" i="4"/>
  <c r="S30" i="4"/>
  <c r="N31" i="4"/>
  <c r="O31" i="4"/>
  <c r="P31" i="4"/>
  <c r="Q31" i="4"/>
  <c r="R31" i="4"/>
  <c r="S31" i="4"/>
  <c r="N32" i="4"/>
  <c r="O32" i="4"/>
  <c r="P32" i="4"/>
  <c r="Q32" i="4"/>
  <c r="R32" i="4"/>
  <c r="S32" i="4"/>
  <c r="N33" i="4"/>
  <c r="O33" i="4"/>
  <c r="P33" i="4"/>
  <c r="Q33" i="4"/>
  <c r="R33" i="4"/>
  <c r="S33" i="4"/>
  <c r="N34" i="4"/>
  <c r="O34" i="4"/>
  <c r="P34" i="4"/>
  <c r="Q34" i="4"/>
  <c r="R34" i="4"/>
  <c r="S34" i="4"/>
  <c r="N35" i="4"/>
  <c r="O35" i="4"/>
  <c r="P35" i="4"/>
  <c r="Q35" i="4"/>
  <c r="R35" i="4"/>
  <c r="S35" i="4"/>
  <c r="N36" i="4"/>
  <c r="O36" i="4"/>
  <c r="P36" i="4"/>
  <c r="Q36" i="4"/>
  <c r="R36" i="4"/>
  <c r="S36" i="4"/>
  <c r="N37" i="4"/>
  <c r="O37" i="4"/>
  <c r="P37" i="4"/>
  <c r="Q37" i="4"/>
  <c r="R37" i="4"/>
  <c r="S37" i="4"/>
  <c r="N38" i="4"/>
  <c r="O38" i="4"/>
  <c r="P38" i="4"/>
  <c r="Q38" i="4"/>
  <c r="R38" i="4"/>
  <c r="S38" i="4"/>
  <c r="N39" i="4"/>
  <c r="O39" i="4"/>
  <c r="P39" i="4"/>
  <c r="Q39" i="4"/>
  <c r="R39" i="4"/>
  <c r="S39" i="4"/>
  <c r="N40" i="4"/>
  <c r="O40" i="4"/>
  <c r="P40" i="4"/>
  <c r="Q40" i="4"/>
  <c r="R40" i="4"/>
  <c r="S40" i="4"/>
  <c r="N41" i="4"/>
  <c r="O41" i="4"/>
  <c r="P41" i="4"/>
  <c r="Q41" i="4"/>
  <c r="R41" i="4"/>
  <c r="S41" i="4"/>
  <c r="N42" i="4"/>
  <c r="O42" i="4"/>
  <c r="P42" i="4"/>
  <c r="Q42" i="4"/>
  <c r="R42" i="4"/>
  <c r="S42" i="4"/>
  <c r="N43" i="4"/>
  <c r="O43" i="4"/>
  <c r="P43" i="4"/>
  <c r="Q43" i="4"/>
  <c r="R43" i="4"/>
  <c r="S43" i="4"/>
  <c r="N44" i="4"/>
  <c r="O44" i="4"/>
  <c r="P44" i="4"/>
  <c r="Q44" i="4"/>
  <c r="R44" i="4"/>
  <c r="S44" i="4"/>
  <c r="N45" i="4"/>
  <c r="O45" i="4"/>
  <c r="P45" i="4"/>
  <c r="Q45" i="4"/>
  <c r="R45" i="4"/>
  <c r="S45" i="4"/>
  <c r="N46" i="4"/>
  <c r="O46" i="4"/>
  <c r="P46" i="4"/>
  <c r="Q46" i="4"/>
  <c r="R46" i="4"/>
  <c r="S46" i="4"/>
  <c r="N47" i="4"/>
  <c r="O47" i="4"/>
  <c r="P47" i="4"/>
  <c r="Q47" i="4"/>
  <c r="R47" i="4"/>
  <c r="S47" i="4"/>
  <c r="N48" i="4"/>
  <c r="O48" i="4"/>
  <c r="P48" i="4"/>
  <c r="Q48" i="4"/>
  <c r="R48" i="4"/>
  <c r="S48" i="4"/>
  <c r="N49" i="4"/>
  <c r="O49" i="4"/>
  <c r="P49" i="4"/>
  <c r="Q49" i="4"/>
  <c r="R49" i="4"/>
  <c r="S49" i="4"/>
  <c r="N50" i="4"/>
  <c r="O50" i="4"/>
  <c r="P50" i="4"/>
  <c r="Q50" i="4"/>
  <c r="R50" i="4"/>
  <c r="S50" i="4"/>
  <c r="N51" i="4"/>
  <c r="O51" i="4"/>
  <c r="P51" i="4"/>
  <c r="Q51" i="4"/>
  <c r="R51" i="4"/>
  <c r="S51" i="4"/>
  <c r="N52" i="4"/>
  <c r="O52" i="4"/>
  <c r="P52" i="4"/>
  <c r="Q52" i="4"/>
  <c r="R52" i="4"/>
  <c r="S52" i="4"/>
  <c r="N53" i="4"/>
  <c r="O53" i="4"/>
  <c r="P53" i="4"/>
  <c r="Q53" i="4"/>
  <c r="R53" i="4"/>
  <c r="S53" i="4"/>
  <c r="H17" i="2" l="1"/>
  <c r="K18" i="2"/>
  <c r="K16" i="2"/>
  <c r="I18" i="2"/>
  <c r="I16" i="2"/>
  <c r="H16" i="2"/>
  <c r="H18" i="2"/>
  <c r="L17" i="2"/>
  <c r="L15" i="2"/>
  <c r="K17" i="2"/>
  <c r="K15" i="2"/>
  <c r="I17" i="2"/>
  <c r="I15" i="2"/>
  <c r="H15" i="2"/>
  <c r="L18" i="2"/>
  <c r="L16" i="2"/>
  <c r="J16" i="2"/>
  <c r="J18" i="2"/>
  <c r="G16" i="2"/>
  <c r="G18" i="2"/>
  <c r="J15" i="2"/>
  <c r="J17" i="2"/>
  <c r="G15" i="2"/>
  <c r="G17" i="2"/>
  <c r="P5" i="2"/>
  <c r="P6" i="2"/>
  <c r="P7" i="2"/>
  <c r="P8" i="2"/>
  <c r="P4" i="2"/>
  <c r="L5" i="2"/>
  <c r="L6" i="2"/>
  <c r="L7" i="2"/>
  <c r="L8" i="2"/>
  <c r="L4" i="2"/>
  <c r="K5" i="2"/>
  <c r="K6" i="2"/>
  <c r="K7" i="2"/>
  <c r="K8" i="2"/>
  <c r="K4" i="2"/>
  <c r="J5" i="2"/>
  <c r="J6" i="2"/>
  <c r="J7" i="2"/>
  <c r="J8" i="2"/>
  <c r="J4" i="2"/>
  <c r="I5" i="2"/>
  <c r="I6" i="2"/>
  <c r="I7" i="2"/>
  <c r="I8" i="2"/>
  <c r="I4" i="2"/>
  <c r="H5" i="2"/>
  <c r="H6" i="2"/>
  <c r="H7" i="2"/>
  <c r="H8" i="2"/>
  <c r="H4" i="2"/>
  <c r="G5" i="2"/>
  <c r="G6" i="2"/>
  <c r="G7" i="2"/>
  <c r="G8" i="2"/>
  <c r="G4" i="2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S4" i="1"/>
  <c r="R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4" i="1"/>
  <c r="I53" i="4" l="1"/>
  <c r="I52" i="4"/>
  <c r="U52" i="4" s="1"/>
  <c r="I51" i="4"/>
  <c r="L51" i="4" s="1"/>
  <c r="I50" i="4"/>
  <c r="I49" i="4"/>
  <c r="I48" i="4"/>
  <c r="U48" i="4" s="1"/>
  <c r="I47" i="4"/>
  <c r="L47" i="4" s="1"/>
  <c r="I46" i="4"/>
  <c r="I45" i="4"/>
  <c r="I44" i="4"/>
  <c r="U44" i="4" s="1"/>
  <c r="I43" i="4"/>
  <c r="L43" i="4" s="1"/>
  <c r="I42" i="4"/>
  <c r="K42" i="4" s="1"/>
  <c r="I41" i="4"/>
  <c r="I40" i="4"/>
  <c r="U40" i="4" s="1"/>
  <c r="I39" i="4"/>
  <c r="L39" i="4" s="1"/>
  <c r="I38" i="4"/>
  <c r="I37" i="4"/>
  <c r="I36" i="4"/>
  <c r="U36" i="4" s="1"/>
  <c r="I35" i="4"/>
  <c r="L35" i="4" s="1"/>
  <c r="I34" i="4"/>
  <c r="K34" i="4" s="1"/>
  <c r="I33" i="4"/>
  <c r="I32" i="4"/>
  <c r="U32" i="4" s="1"/>
  <c r="I31" i="4"/>
  <c r="L31" i="4" s="1"/>
  <c r="I30" i="4"/>
  <c r="K30" i="4" s="1"/>
  <c r="I29" i="4"/>
  <c r="I28" i="4"/>
  <c r="U28" i="4" s="1"/>
  <c r="I27" i="4"/>
  <c r="L27" i="4" s="1"/>
  <c r="I26" i="4"/>
  <c r="M26" i="4" s="1"/>
  <c r="I25" i="4"/>
  <c r="X24" i="4"/>
  <c r="M24" i="4"/>
  <c r="I24" i="4"/>
  <c r="U24" i="4" s="1"/>
  <c r="I23" i="4"/>
  <c r="L23" i="4" s="1"/>
  <c r="I22" i="4"/>
  <c r="M22" i="4" s="1"/>
  <c r="I21" i="4"/>
  <c r="I20" i="4"/>
  <c r="U20" i="4" s="1"/>
  <c r="I19" i="4"/>
  <c r="L19" i="4" s="1"/>
  <c r="I18" i="4"/>
  <c r="I17" i="4"/>
  <c r="I16" i="4"/>
  <c r="U16" i="4" s="1"/>
  <c r="W15" i="4"/>
  <c r="I15" i="4"/>
  <c r="L15" i="4" s="1"/>
  <c r="I14" i="4"/>
  <c r="K14" i="4" s="1"/>
  <c r="I13" i="4"/>
  <c r="I12" i="4"/>
  <c r="U12" i="4" s="1"/>
  <c r="I11" i="4"/>
  <c r="L11" i="4" s="1"/>
  <c r="I10" i="4"/>
  <c r="K10" i="4" s="1"/>
  <c r="I9" i="4"/>
  <c r="I8" i="4"/>
  <c r="U8" i="4" s="1"/>
  <c r="W7" i="4"/>
  <c r="U7" i="4"/>
  <c r="T7" i="4"/>
  <c r="M7" i="4"/>
  <c r="I7" i="4"/>
  <c r="L7" i="4" s="1"/>
  <c r="I6" i="4"/>
  <c r="I5" i="4"/>
  <c r="I4" i="4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W17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U28" i="3" l="1"/>
  <c r="N28" i="3"/>
  <c r="O28" i="3"/>
  <c r="P28" i="3"/>
  <c r="Q28" i="3"/>
  <c r="R28" i="3"/>
  <c r="S28" i="3"/>
  <c r="U40" i="3"/>
  <c r="R40" i="3"/>
  <c r="N40" i="3"/>
  <c r="O40" i="3"/>
  <c r="P40" i="3"/>
  <c r="Q40" i="3"/>
  <c r="S40" i="3"/>
  <c r="N18" i="3"/>
  <c r="O18" i="3"/>
  <c r="P18" i="3"/>
  <c r="Q18" i="3"/>
  <c r="R18" i="3"/>
  <c r="S18" i="3"/>
  <c r="U4" i="3"/>
  <c r="S4" i="3"/>
  <c r="R4" i="3"/>
  <c r="Q4" i="3"/>
  <c r="O4" i="3"/>
  <c r="P4" i="3"/>
  <c r="N4" i="3"/>
  <c r="U44" i="3"/>
  <c r="N44" i="3"/>
  <c r="O44" i="3"/>
  <c r="P44" i="3"/>
  <c r="Q44" i="3"/>
  <c r="R44" i="3"/>
  <c r="S44" i="3"/>
  <c r="L39" i="3"/>
  <c r="R39" i="3"/>
  <c r="S39" i="3"/>
  <c r="P39" i="3"/>
  <c r="N39" i="3"/>
  <c r="Q39" i="3"/>
  <c r="O39" i="3"/>
  <c r="R29" i="3"/>
  <c r="S29" i="3"/>
  <c r="P29" i="3"/>
  <c r="Q29" i="3"/>
  <c r="N29" i="3"/>
  <c r="O29" i="3"/>
  <c r="W29" i="3"/>
  <c r="N42" i="3"/>
  <c r="O42" i="3"/>
  <c r="P42" i="3"/>
  <c r="Q42" i="3"/>
  <c r="R42" i="3"/>
  <c r="S42" i="3"/>
  <c r="L31" i="3"/>
  <c r="R31" i="3"/>
  <c r="S31" i="3"/>
  <c r="P31" i="3"/>
  <c r="O31" i="3"/>
  <c r="N31" i="3"/>
  <c r="Q31" i="3"/>
  <c r="N22" i="3"/>
  <c r="O22" i="3"/>
  <c r="R22" i="3"/>
  <c r="P22" i="3"/>
  <c r="Q22" i="3"/>
  <c r="S22" i="3"/>
  <c r="R33" i="3"/>
  <c r="S33" i="3"/>
  <c r="P33" i="3"/>
  <c r="Q33" i="3"/>
  <c r="N33" i="3"/>
  <c r="O33" i="3"/>
  <c r="R45" i="3"/>
  <c r="S45" i="3"/>
  <c r="P45" i="3"/>
  <c r="Q45" i="3"/>
  <c r="N45" i="3"/>
  <c r="O45" i="3"/>
  <c r="W4" i="3"/>
  <c r="N34" i="3"/>
  <c r="O34" i="3"/>
  <c r="R34" i="3"/>
  <c r="P34" i="3"/>
  <c r="Q34" i="3"/>
  <c r="S34" i="3"/>
  <c r="N46" i="3"/>
  <c r="O46" i="3"/>
  <c r="P46" i="3"/>
  <c r="R46" i="3"/>
  <c r="Q46" i="3"/>
  <c r="S46" i="3"/>
  <c r="W9" i="3"/>
  <c r="R9" i="3"/>
  <c r="S9" i="3"/>
  <c r="Q9" i="3"/>
  <c r="N9" i="3"/>
  <c r="P9" i="3"/>
  <c r="O9" i="3"/>
  <c r="L51" i="3"/>
  <c r="R51" i="3"/>
  <c r="S51" i="3"/>
  <c r="P51" i="3"/>
  <c r="Q51" i="3"/>
  <c r="O51" i="3"/>
  <c r="N51" i="3"/>
  <c r="L19" i="3"/>
  <c r="R19" i="3"/>
  <c r="S19" i="3"/>
  <c r="P19" i="3"/>
  <c r="Q19" i="3"/>
  <c r="N19" i="3"/>
  <c r="O19" i="3"/>
  <c r="U12" i="3"/>
  <c r="N12" i="3"/>
  <c r="O12" i="3"/>
  <c r="P12" i="3"/>
  <c r="R12" i="3"/>
  <c r="Q12" i="3"/>
  <c r="S12" i="3"/>
  <c r="R53" i="3"/>
  <c r="S53" i="3"/>
  <c r="P53" i="3"/>
  <c r="N53" i="3"/>
  <c r="O53" i="3"/>
  <c r="Q53" i="3"/>
  <c r="N30" i="3"/>
  <c r="O30" i="3"/>
  <c r="P30" i="3"/>
  <c r="Q30" i="3"/>
  <c r="R30" i="3"/>
  <c r="S30" i="3"/>
  <c r="L43" i="3"/>
  <c r="R43" i="3"/>
  <c r="Q43" i="3"/>
  <c r="S43" i="3"/>
  <c r="P43" i="3"/>
  <c r="N43" i="3"/>
  <c r="O43" i="3"/>
  <c r="N14" i="3"/>
  <c r="O14" i="3"/>
  <c r="P14" i="3"/>
  <c r="Q14" i="3"/>
  <c r="R14" i="3"/>
  <c r="S14" i="3"/>
  <c r="L15" i="3"/>
  <c r="R15" i="3"/>
  <c r="Q15" i="3"/>
  <c r="S15" i="3"/>
  <c r="P15" i="3"/>
  <c r="N15" i="3"/>
  <c r="O15" i="3"/>
  <c r="N6" i="3"/>
  <c r="O6" i="3"/>
  <c r="P6" i="3"/>
  <c r="Q6" i="3"/>
  <c r="R6" i="3"/>
  <c r="S6" i="3"/>
  <c r="L35" i="3"/>
  <c r="R35" i="3"/>
  <c r="S35" i="3"/>
  <c r="Q35" i="3"/>
  <c r="N35" i="3"/>
  <c r="P35" i="3"/>
  <c r="O35" i="3"/>
  <c r="L47" i="3"/>
  <c r="R47" i="3"/>
  <c r="S47" i="3"/>
  <c r="P47" i="3"/>
  <c r="Q47" i="3"/>
  <c r="N47" i="3"/>
  <c r="O47" i="3"/>
  <c r="U20" i="3"/>
  <c r="N20" i="3"/>
  <c r="R20" i="3"/>
  <c r="O20" i="3"/>
  <c r="P20" i="3"/>
  <c r="Q20" i="3"/>
  <c r="S20" i="3"/>
  <c r="R13" i="3"/>
  <c r="S13" i="3"/>
  <c r="P13" i="3"/>
  <c r="Q13" i="3"/>
  <c r="N13" i="3"/>
  <c r="O13" i="3"/>
  <c r="W21" i="3"/>
  <c r="R21" i="3"/>
  <c r="P21" i="3"/>
  <c r="S21" i="3"/>
  <c r="Q21" i="3"/>
  <c r="N21" i="3"/>
  <c r="O21" i="3"/>
  <c r="U32" i="3"/>
  <c r="N32" i="3"/>
  <c r="O32" i="3"/>
  <c r="P32" i="3"/>
  <c r="R32" i="3"/>
  <c r="Q32" i="3"/>
  <c r="S32" i="3"/>
  <c r="W5" i="3"/>
  <c r="R5" i="3"/>
  <c r="S5" i="3"/>
  <c r="N5" i="3"/>
  <c r="O5" i="3"/>
  <c r="P5" i="3"/>
  <c r="Q5" i="3"/>
  <c r="U24" i="3"/>
  <c r="R24" i="3"/>
  <c r="N24" i="3"/>
  <c r="O24" i="3"/>
  <c r="P24" i="3"/>
  <c r="Q24" i="3"/>
  <c r="S24" i="3"/>
  <c r="L7" i="3"/>
  <c r="R7" i="3"/>
  <c r="S7" i="3"/>
  <c r="P7" i="3"/>
  <c r="N7" i="3"/>
  <c r="Q7" i="3"/>
  <c r="O7" i="3"/>
  <c r="W25" i="3"/>
  <c r="R25" i="3"/>
  <c r="S25" i="3"/>
  <c r="Q25" i="3"/>
  <c r="N25" i="3"/>
  <c r="P25" i="3"/>
  <c r="O25" i="3"/>
  <c r="U36" i="3"/>
  <c r="N36" i="3"/>
  <c r="O36" i="3"/>
  <c r="P36" i="3"/>
  <c r="Q36" i="3"/>
  <c r="R36" i="3"/>
  <c r="S36" i="3"/>
  <c r="U48" i="3"/>
  <c r="N48" i="3"/>
  <c r="O48" i="3"/>
  <c r="P48" i="3"/>
  <c r="R48" i="3"/>
  <c r="Q48" i="3"/>
  <c r="S48" i="3"/>
  <c r="N10" i="3"/>
  <c r="O10" i="3"/>
  <c r="R10" i="3"/>
  <c r="P10" i="3"/>
  <c r="Q10" i="3"/>
  <c r="S10" i="3"/>
  <c r="L11" i="3"/>
  <c r="R11" i="3"/>
  <c r="S11" i="3"/>
  <c r="P11" i="3"/>
  <c r="Q11" i="3"/>
  <c r="N11" i="3"/>
  <c r="O11" i="3"/>
  <c r="U52" i="3"/>
  <c r="N52" i="3"/>
  <c r="R52" i="3"/>
  <c r="O52" i="3"/>
  <c r="P52" i="3"/>
  <c r="Q52" i="3"/>
  <c r="S52" i="3"/>
  <c r="R41" i="3"/>
  <c r="S41" i="3"/>
  <c r="Q41" i="3"/>
  <c r="O41" i="3"/>
  <c r="N41" i="3"/>
  <c r="P41" i="3"/>
  <c r="W20" i="3"/>
  <c r="W13" i="3"/>
  <c r="M4" i="3"/>
  <c r="L23" i="3"/>
  <c r="R23" i="3"/>
  <c r="S23" i="3"/>
  <c r="P23" i="3"/>
  <c r="N23" i="3"/>
  <c r="Q23" i="3"/>
  <c r="O23" i="3"/>
  <c r="U16" i="3"/>
  <c r="N16" i="3"/>
  <c r="O16" i="3"/>
  <c r="P16" i="3"/>
  <c r="Q16" i="3"/>
  <c r="R16" i="3"/>
  <c r="S16" i="3"/>
  <c r="M16" i="3"/>
  <c r="W24" i="3"/>
  <c r="W16" i="3"/>
  <c r="U8" i="3"/>
  <c r="N8" i="3"/>
  <c r="O8" i="3"/>
  <c r="P8" i="3"/>
  <c r="Q8" i="3"/>
  <c r="R8" i="3"/>
  <c r="S8" i="3"/>
  <c r="R17" i="3"/>
  <c r="S17" i="3"/>
  <c r="P17" i="3"/>
  <c r="Q17" i="3"/>
  <c r="N17" i="3"/>
  <c r="O17" i="3"/>
  <c r="N26" i="3"/>
  <c r="O26" i="3"/>
  <c r="P26" i="3"/>
  <c r="Q26" i="3"/>
  <c r="R26" i="3"/>
  <c r="S26" i="3"/>
  <c r="R37" i="3"/>
  <c r="S37" i="3"/>
  <c r="Q37" i="3"/>
  <c r="P37" i="3"/>
  <c r="N37" i="3"/>
  <c r="O37" i="3"/>
  <c r="R49" i="3"/>
  <c r="P49" i="3"/>
  <c r="S49" i="3"/>
  <c r="Q49" i="3"/>
  <c r="O49" i="3"/>
  <c r="N49" i="3"/>
  <c r="L27" i="3"/>
  <c r="R27" i="3"/>
  <c r="S27" i="3"/>
  <c r="Q27" i="3"/>
  <c r="N27" i="3"/>
  <c r="O27" i="3"/>
  <c r="P27" i="3"/>
  <c r="N38" i="3"/>
  <c r="R38" i="3"/>
  <c r="O38" i="3"/>
  <c r="P38" i="3"/>
  <c r="Q38" i="3"/>
  <c r="S38" i="3"/>
  <c r="N50" i="3"/>
  <c r="O50" i="3"/>
  <c r="P50" i="3"/>
  <c r="Q50" i="3"/>
  <c r="R50" i="3"/>
  <c r="S50" i="3"/>
  <c r="U4" i="4"/>
  <c r="S4" i="4"/>
  <c r="L14" i="2" s="1"/>
  <c r="R4" i="4"/>
  <c r="K14" i="2" s="1"/>
  <c r="N4" i="4"/>
  <c r="G14" i="2" s="1"/>
  <c r="Q4" i="4"/>
  <c r="J14" i="2" s="1"/>
  <c r="P4" i="4"/>
  <c r="I14" i="2" s="1"/>
  <c r="O4" i="4"/>
  <c r="H14" i="2" s="1"/>
  <c r="U35" i="4"/>
  <c r="W35" i="4"/>
  <c r="W11" i="4"/>
  <c r="W20" i="4"/>
  <c r="X28" i="4"/>
  <c r="T11" i="4"/>
  <c r="U11" i="4"/>
  <c r="X20" i="4"/>
  <c r="M39" i="4"/>
  <c r="X48" i="4"/>
  <c r="T15" i="4"/>
  <c r="U39" i="4"/>
  <c r="W39" i="4"/>
  <c r="M35" i="4"/>
  <c r="T35" i="4"/>
  <c r="W40" i="4"/>
  <c r="W12" i="4"/>
  <c r="X40" i="4"/>
  <c r="M51" i="4"/>
  <c r="M8" i="4"/>
  <c r="X12" i="4"/>
  <c r="M23" i="4"/>
  <c r="W31" i="4"/>
  <c r="W36" i="4"/>
  <c r="T51" i="4"/>
  <c r="T23" i="4"/>
  <c r="U27" i="4"/>
  <c r="M19" i="4"/>
  <c r="U23" i="4"/>
  <c r="W27" i="4"/>
  <c r="W32" i="4"/>
  <c r="T47" i="4"/>
  <c r="W51" i="4"/>
  <c r="W44" i="4"/>
  <c r="W16" i="4"/>
  <c r="M31" i="4"/>
  <c r="T27" i="4"/>
  <c r="X36" i="4"/>
  <c r="U51" i="4"/>
  <c r="X8" i="4"/>
  <c r="X4" i="4"/>
  <c r="T19" i="4"/>
  <c r="W23" i="4"/>
  <c r="X32" i="4"/>
  <c r="M43" i="4"/>
  <c r="U47" i="4"/>
  <c r="X16" i="4"/>
  <c r="T31" i="4"/>
  <c r="U31" i="4"/>
  <c r="M4" i="4"/>
  <c r="W8" i="4"/>
  <c r="M47" i="4"/>
  <c r="W4" i="4"/>
  <c r="M15" i="4"/>
  <c r="U19" i="4"/>
  <c r="W28" i="4"/>
  <c r="T43" i="4"/>
  <c r="W47" i="4"/>
  <c r="W52" i="4"/>
  <c r="U43" i="4"/>
  <c r="X52" i="4"/>
  <c r="X44" i="4"/>
  <c r="M27" i="4"/>
  <c r="W19" i="4"/>
  <c r="M11" i="4"/>
  <c r="U15" i="4"/>
  <c r="W24" i="4"/>
  <c r="T39" i="4"/>
  <c r="W43" i="4"/>
  <c r="W48" i="4"/>
  <c r="K26" i="4"/>
  <c r="K50" i="4"/>
  <c r="K18" i="4"/>
  <c r="L6" i="4"/>
  <c r="L10" i="4"/>
  <c r="L14" i="4"/>
  <c r="L18" i="4"/>
  <c r="L22" i="4"/>
  <c r="L26" i="4"/>
  <c r="L30" i="4"/>
  <c r="L34" i="4"/>
  <c r="L38" i="4"/>
  <c r="L42" i="4"/>
  <c r="L46" i="4"/>
  <c r="L50" i="4"/>
  <c r="K46" i="4"/>
  <c r="M6" i="4"/>
  <c r="M34" i="4"/>
  <c r="K38" i="4"/>
  <c r="K5" i="4"/>
  <c r="T6" i="4"/>
  <c r="X7" i="4"/>
  <c r="K9" i="4"/>
  <c r="T10" i="4"/>
  <c r="X11" i="4"/>
  <c r="K13" i="4"/>
  <c r="T14" i="4"/>
  <c r="X15" i="4"/>
  <c r="K17" i="4"/>
  <c r="T18" i="4"/>
  <c r="X19" i="4"/>
  <c r="K21" i="4"/>
  <c r="T22" i="4"/>
  <c r="X23" i="4"/>
  <c r="K25" i="4"/>
  <c r="T26" i="4"/>
  <c r="X27" i="4"/>
  <c r="K29" i="4"/>
  <c r="T30" i="4"/>
  <c r="X31" i="4"/>
  <c r="K33" i="4"/>
  <c r="T34" i="4"/>
  <c r="X35" i="4"/>
  <c r="K37" i="4"/>
  <c r="T38" i="4"/>
  <c r="X39" i="4"/>
  <c r="K41" i="4"/>
  <c r="T42" i="4"/>
  <c r="X43" i="4"/>
  <c r="K45" i="4"/>
  <c r="T46" i="4"/>
  <c r="X47" i="4"/>
  <c r="K49" i="4"/>
  <c r="T50" i="4"/>
  <c r="X51" i="4"/>
  <c r="K53" i="4"/>
  <c r="K22" i="4"/>
  <c r="M38" i="4"/>
  <c r="M50" i="4"/>
  <c r="L5" i="4"/>
  <c r="U6" i="4"/>
  <c r="L9" i="4"/>
  <c r="U10" i="4"/>
  <c r="L13" i="4"/>
  <c r="U14" i="4"/>
  <c r="L17" i="4"/>
  <c r="U18" i="4"/>
  <c r="L21" i="4"/>
  <c r="U22" i="4"/>
  <c r="L25" i="4"/>
  <c r="U26" i="4"/>
  <c r="L29" i="4"/>
  <c r="U30" i="4"/>
  <c r="L33" i="4"/>
  <c r="U34" i="4"/>
  <c r="L37" i="4"/>
  <c r="U38" i="4"/>
  <c r="L41" i="4"/>
  <c r="U42" i="4"/>
  <c r="L45" i="4"/>
  <c r="U46" i="4"/>
  <c r="L49" i="4"/>
  <c r="U50" i="4"/>
  <c r="L53" i="4"/>
  <c r="M10" i="4"/>
  <c r="M42" i="4"/>
  <c r="M5" i="4"/>
  <c r="M17" i="4"/>
  <c r="W18" i="4"/>
  <c r="M21" i="4"/>
  <c r="M25" i="4"/>
  <c r="W26" i="4"/>
  <c r="M29" i="4"/>
  <c r="W30" i="4"/>
  <c r="W38" i="4"/>
  <c r="M41" i="4"/>
  <c r="M45" i="4"/>
  <c r="W46" i="4"/>
  <c r="M49" i="4"/>
  <c r="M53" i="4"/>
  <c r="K6" i="4"/>
  <c r="M14" i="4"/>
  <c r="M9" i="4"/>
  <c r="W10" i="4"/>
  <c r="M13" i="4"/>
  <c r="W14" i="4"/>
  <c r="W22" i="4"/>
  <c r="M33" i="4"/>
  <c r="W50" i="4"/>
  <c r="K4" i="4"/>
  <c r="T5" i="4"/>
  <c r="X6" i="4"/>
  <c r="K8" i="4"/>
  <c r="T9" i="4"/>
  <c r="X10" i="4"/>
  <c r="K12" i="4"/>
  <c r="T13" i="4"/>
  <c r="X14" i="4"/>
  <c r="K16" i="4"/>
  <c r="T17" i="4"/>
  <c r="X18" i="4"/>
  <c r="K20" i="4"/>
  <c r="T21" i="4"/>
  <c r="X22" i="4"/>
  <c r="K24" i="4"/>
  <c r="T25" i="4"/>
  <c r="X26" i="4"/>
  <c r="K28" i="4"/>
  <c r="T29" i="4"/>
  <c r="X30" i="4"/>
  <c r="K32" i="4"/>
  <c r="T33" i="4"/>
  <c r="X34" i="4"/>
  <c r="K36" i="4"/>
  <c r="T37" i="4"/>
  <c r="X38" i="4"/>
  <c r="K40" i="4"/>
  <c r="T41" i="4"/>
  <c r="X42" i="4"/>
  <c r="K44" i="4"/>
  <c r="T45" i="4"/>
  <c r="X46" i="4"/>
  <c r="K48" i="4"/>
  <c r="T49" i="4"/>
  <c r="X50" i="4"/>
  <c r="K52" i="4"/>
  <c r="T53" i="4"/>
  <c r="M18" i="4"/>
  <c r="M46" i="4"/>
  <c r="W6" i="4"/>
  <c r="W34" i="4"/>
  <c r="M37" i="4"/>
  <c r="W42" i="4"/>
  <c r="L4" i="4"/>
  <c r="U5" i="4"/>
  <c r="L8" i="4"/>
  <c r="U9" i="4"/>
  <c r="L12" i="4"/>
  <c r="U13" i="4"/>
  <c r="L16" i="4"/>
  <c r="U17" i="4"/>
  <c r="L20" i="4"/>
  <c r="U21" i="4"/>
  <c r="L24" i="4"/>
  <c r="U25" i="4"/>
  <c r="L28" i="4"/>
  <c r="U29" i="4"/>
  <c r="L32" i="4"/>
  <c r="U33" i="4"/>
  <c r="L36" i="4"/>
  <c r="U37" i="4"/>
  <c r="L40" i="4"/>
  <c r="U41" i="4"/>
  <c r="L44" i="4"/>
  <c r="U45" i="4"/>
  <c r="L48" i="4"/>
  <c r="U49" i="4"/>
  <c r="L52" i="4"/>
  <c r="U53" i="4"/>
  <c r="W9" i="4"/>
  <c r="W17" i="4"/>
  <c r="W25" i="4"/>
  <c r="M28" i="4"/>
  <c r="W29" i="4"/>
  <c r="M32" i="4"/>
  <c r="W33" i="4"/>
  <c r="M36" i="4"/>
  <c r="M40" i="4"/>
  <c r="M52" i="4"/>
  <c r="W53" i="4"/>
  <c r="M30" i="4"/>
  <c r="W5" i="4"/>
  <c r="M12" i="4"/>
  <c r="W13" i="4"/>
  <c r="M16" i="4"/>
  <c r="M20" i="4"/>
  <c r="W21" i="4"/>
  <c r="M44" i="4"/>
  <c r="W45" i="4"/>
  <c r="M48" i="4"/>
  <c r="W49" i="4"/>
  <c r="T4" i="4"/>
  <c r="X5" i="4"/>
  <c r="K7" i="4"/>
  <c r="Z7" i="4" s="1"/>
  <c r="T8" i="4"/>
  <c r="X9" i="4"/>
  <c r="K11" i="4"/>
  <c r="T12" i="4"/>
  <c r="X13" i="4"/>
  <c r="K15" i="4"/>
  <c r="Z15" i="4" s="1"/>
  <c r="T16" i="4"/>
  <c r="X17" i="4"/>
  <c r="K19" i="4"/>
  <c r="T20" i="4"/>
  <c r="X21" i="4"/>
  <c r="K23" i="4"/>
  <c r="Z23" i="4" s="1"/>
  <c r="T24" i="4"/>
  <c r="X25" i="4"/>
  <c r="K27" i="4"/>
  <c r="T28" i="4"/>
  <c r="X29" i="4"/>
  <c r="K31" i="4"/>
  <c r="Z31" i="4" s="1"/>
  <c r="T32" i="4"/>
  <c r="X33" i="4"/>
  <c r="K35" i="4"/>
  <c r="Z35" i="4" s="1"/>
  <c r="T36" i="4"/>
  <c r="X37" i="4"/>
  <c r="K39" i="4"/>
  <c r="Z39" i="4" s="1"/>
  <c r="T40" i="4"/>
  <c r="X41" i="4"/>
  <c r="K43" i="4"/>
  <c r="T44" i="4"/>
  <c r="X45" i="4"/>
  <c r="K47" i="4"/>
  <c r="Z47" i="4" s="1"/>
  <c r="T48" i="4"/>
  <c r="X49" i="4"/>
  <c r="K51" i="4"/>
  <c r="Z51" i="4" s="1"/>
  <c r="T52" i="4"/>
  <c r="X53" i="4"/>
  <c r="W37" i="4"/>
  <c r="W41" i="4"/>
  <c r="W32" i="3"/>
  <c r="M20" i="3"/>
  <c r="M32" i="3"/>
  <c r="W12" i="3"/>
  <c r="M8" i="3"/>
  <c r="W28" i="3"/>
  <c r="M12" i="3"/>
  <c r="M28" i="3"/>
  <c r="W8" i="3"/>
  <c r="M24" i="3"/>
  <c r="M39" i="3"/>
  <c r="W40" i="3"/>
  <c r="M43" i="3"/>
  <c r="W52" i="3"/>
  <c r="X4" i="3"/>
  <c r="K6" i="3"/>
  <c r="T7" i="3"/>
  <c r="X8" i="3"/>
  <c r="K10" i="3"/>
  <c r="T11" i="3"/>
  <c r="X12" i="3"/>
  <c r="K14" i="3"/>
  <c r="T15" i="3"/>
  <c r="X16" i="3"/>
  <c r="K18" i="3"/>
  <c r="T19" i="3"/>
  <c r="X20" i="3"/>
  <c r="K22" i="3"/>
  <c r="T23" i="3"/>
  <c r="X24" i="3"/>
  <c r="K26" i="3"/>
  <c r="T27" i="3"/>
  <c r="X28" i="3"/>
  <c r="K30" i="3"/>
  <c r="T31" i="3"/>
  <c r="X32" i="3"/>
  <c r="K34" i="3"/>
  <c r="T35" i="3"/>
  <c r="X36" i="3"/>
  <c r="K38" i="3"/>
  <c r="T39" i="3"/>
  <c r="X40" i="3"/>
  <c r="K42" i="3"/>
  <c r="T43" i="3"/>
  <c r="X44" i="3"/>
  <c r="K46" i="3"/>
  <c r="T47" i="3"/>
  <c r="X48" i="3"/>
  <c r="K50" i="3"/>
  <c r="T51" i="3"/>
  <c r="X52" i="3"/>
  <c r="M31" i="3"/>
  <c r="M35" i="3"/>
  <c r="W36" i="3"/>
  <c r="W44" i="3"/>
  <c r="M47" i="3"/>
  <c r="W48" i="3"/>
  <c r="M51" i="3"/>
  <c r="L6" i="3"/>
  <c r="U7" i="3"/>
  <c r="L10" i="3"/>
  <c r="U11" i="3"/>
  <c r="L14" i="3"/>
  <c r="U15" i="3"/>
  <c r="L18" i="3"/>
  <c r="U19" i="3"/>
  <c r="L22" i="3"/>
  <c r="U23" i="3"/>
  <c r="L26" i="3"/>
  <c r="U27" i="3"/>
  <c r="L30" i="3"/>
  <c r="U31" i="3"/>
  <c r="L34" i="3"/>
  <c r="U35" i="3"/>
  <c r="L38" i="3"/>
  <c r="U39" i="3"/>
  <c r="L42" i="3"/>
  <c r="U43" i="3"/>
  <c r="L46" i="3"/>
  <c r="U47" i="3"/>
  <c r="L50" i="3"/>
  <c r="U51" i="3"/>
  <c r="W11" i="3"/>
  <c r="W31" i="3"/>
  <c r="M38" i="3"/>
  <c r="W27" i="3"/>
  <c r="M30" i="3"/>
  <c r="M34" i="3"/>
  <c r="W35" i="3"/>
  <c r="W39" i="3"/>
  <c r="M50" i="3"/>
  <c r="W51" i="3"/>
  <c r="K5" i="3"/>
  <c r="T6" i="3"/>
  <c r="X7" i="3"/>
  <c r="K9" i="3"/>
  <c r="T10" i="3"/>
  <c r="X11" i="3"/>
  <c r="K13" i="3"/>
  <c r="T14" i="3"/>
  <c r="X15" i="3"/>
  <c r="K17" i="3"/>
  <c r="T18" i="3"/>
  <c r="X19" i="3"/>
  <c r="K21" i="3"/>
  <c r="T22" i="3"/>
  <c r="X23" i="3"/>
  <c r="K25" i="3"/>
  <c r="T26" i="3"/>
  <c r="X27" i="3"/>
  <c r="K29" i="3"/>
  <c r="T30" i="3"/>
  <c r="X31" i="3"/>
  <c r="K33" i="3"/>
  <c r="T34" i="3"/>
  <c r="X35" i="3"/>
  <c r="K37" i="3"/>
  <c r="T38" i="3"/>
  <c r="X39" i="3"/>
  <c r="K41" i="3"/>
  <c r="T42" i="3"/>
  <c r="X43" i="3"/>
  <c r="K45" i="3"/>
  <c r="T46" i="3"/>
  <c r="X47" i="3"/>
  <c r="K49" i="3"/>
  <c r="T50" i="3"/>
  <c r="X51" i="3"/>
  <c r="K53" i="3"/>
  <c r="M15" i="3"/>
  <c r="M6" i="3"/>
  <c r="W7" i="3"/>
  <c r="M10" i="3"/>
  <c r="M14" i="3"/>
  <c r="W15" i="3"/>
  <c r="M18" i="3"/>
  <c r="W19" i="3"/>
  <c r="M22" i="3"/>
  <c r="W23" i="3"/>
  <c r="M26" i="3"/>
  <c r="M42" i="3"/>
  <c r="W43" i="3"/>
  <c r="M46" i="3"/>
  <c r="W47" i="3"/>
  <c r="L5" i="3"/>
  <c r="U6" i="3"/>
  <c r="L9" i="3"/>
  <c r="U10" i="3"/>
  <c r="L13" i="3"/>
  <c r="U14" i="3"/>
  <c r="L17" i="3"/>
  <c r="U18" i="3"/>
  <c r="L21" i="3"/>
  <c r="U22" i="3"/>
  <c r="L25" i="3"/>
  <c r="U26" i="3"/>
  <c r="L29" i="3"/>
  <c r="U30" i="3"/>
  <c r="L33" i="3"/>
  <c r="U34" i="3"/>
  <c r="L37" i="3"/>
  <c r="U38" i="3"/>
  <c r="L41" i="3"/>
  <c r="U42" i="3"/>
  <c r="L45" i="3"/>
  <c r="U46" i="3"/>
  <c r="L49" i="3"/>
  <c r="U50" i="3"/>
  <c r="L53" i="3"/>
  <c r="M7" i="3"/>
  <c r="M27" i="3"/>
  <c r="W6" i="3"/>
  <c r="W14" i="3"/>
  <c r="W18" i="3"/>
  <c r="M21" i="3"/>
  <c r="M25" i="3"/>
  <c r="M53" i="3"/>
  <c r="M19" i="3"/>
  <c r="W10" i="3"/>
  <c r="M13" i="3"/>
  <c r="W22" i="3"/>
  <c r="W30" i="3"/>
  <c r="M37" i="3"/>
  <c r="M45" i="3"/>
  <c r="W46" i="3"/>
  <c r="W50" i="3"/>
  <c r="K4" i="3"/>
  <c r="T5" i="3"/>
  <c r="X6" i="3"/>
  <c r="K8" i="3"/>
  <c r="T9" i="3"/>
  <c r="X10" i="3"/>
  <c r="K12" i="3"/>
  <c r="T13" i="3"/>
  <c r="X14" i="3"/>
  <c r="K16" i="3"/>
  <c r="T17" i="3"/>
  <c r="X18" i="3"/>
  <c r="K20" i="3"/>
  <c r="T21" i="3"/>
  <c r="X22" i="3"/>
  <c r="K24" i="3"/>
  <c r="T25" i="3"/>
  <c r="X26" i="3"/>
  <c r="K28" i="3"/>
  <c r="T29" i="3"/>
  <c r="X30" i="3"/>
  <c r="K32" i="3"/>
  <c r="T33" i="3"/>
  <c r="X34" i="3"/>
  <c r="K36" i="3"/>
  <c r="T37" i="3"/>
  <c r="X38" i="3"/>
  <c r="K40" i="3"/>
  <c r="T41" i="3"/>
  <c r="X42" i="3"/>
  <c r="K44" i="3"/>
  <c r="T45" i="3"/>
  <c r="X46" i="3"/>
  <c r="K48" i="3"/>
  <c r="T49" i="3"/>
  <c r="X50" i="3"/>
  <c r="K52" i="3"/>
  <c r="T53" i="3"/>
  <c r="M11" i="3"/>
  <c r="M23" i="3"/>
  <c r="M5" i="3"/>
  <c r="M9" i="3"/>
  <c r="M17" i="3"/>
  <c r="W26" i="3"/>
  <c r="M29" i="3"/>
  <c r="M33" i="3"/>
  <c r="W34" i="3"/>
  <c r="W38" i="3"/>
  <c r="M41" i="3"/>
  <c r="W42" i="3"/>
  <c r="M49" i="3"/>
  <c r="L4" i="3"/>
  <c r="U5" i="3"/>
  <c r="L8" i="3"/>
  <c r="U9" i="3"/>
  <c r="L12" i="3"/>
  <c r="U13" i="3"/>
  <c r="L16" i="3"/>
  <c r="U17" i="3"/>
  <c r="L20" i="3"/>
  <c r="U21" i="3"/>
  <c r="L24" i="3"/>
  <c r="U25" i="3"/>
  <c r="L28" i="3"/>
  <c r="U29" i="3"/>
  <c r="L32" i="3"/>
  <c r="U33" i="3"/>
  <c r="L36" i="3"/>
  <c r="U37" i="3"/>
  <c r="L40" i="3"/>
  <c r="U41" i="3"/>
  <c r="L44" i="3"/>
  <c r="U45" i="3"/>
  <c r="L48" i="3"/>
  <c r="U49" i="3"/>
  <c r="L52" i="3"/>
  <c r="U53" i="3"/>
  <c r="W33" i="3"/>
  <c r="M40" i="3"/>
  <c r="W41" i="3"/>
  <c r="M52" i="3"/>
  <c r="W53" i="3"/>
  <c r="M48" i="3"/>
  <c r="T4" i="3"/>
  <c r="X5" i="3"/>
  <c r="K7" i="3"/>
  <c r="T8" i="3"/>
  <c r="X9" i="3"/>
  <c r="K11" i="3"/>
  <c r="T12" i="3"/>
  <c r="X13" i="3"/>
  <c r="K15" i="3"/>
  <c r="T16" i="3"/>
  <c r="X17" i="3"/>
  <c r="K19" i="3"/>
  <c r="T20" i="3"/>
  <c r="X21" i="3"/>
  <c r="K23" i="3"/>
  <c r="T24" i="3"/>
  <c r="X25" i="3"/>
  <c r="K27" i="3"/>
  <c r="T28" i="3"/>
  <c r="X29" i="3"/>
  <c r="K31" i="3"/>
  <c r="T32" i="3"/>
  <c r="X33" i="3"/>
  <c r="K35" i="3"/>
  <c r="T36" i="3"/>
  <c r="X37" i="3"/>
  <c r="K39" i="3"/>
  <c r="T40" i="3"/>
  <c r="X41" i="3"/>
  <c r="K43" i="3"/>
  <c r="T44" i="3"/>
  <c r="X45" i="3"/>
  <c r="K47" i="3"/>
  <c r="T48" i="3"/>
  <c r="X49" i="3"/>
  <c r="K51" i="3"/>
  <c r="T52" i="3"/>
  <c r="X53" i="3"/>
  <c r="M36" i="3"/>
  <c r="W37" i="3"/>
  <c r="M44" i="3"/>
  <c r="W45" i="3"/>
  <c r="W49" i="3"/>
  <c r="I50" i="1"/>
  <c r="X50" i="1" s="1"/>
  <c r="I51" i="1"/>
  <c r="X51" i="1" s="1"/>
  <c r="I52" i="1"/>
  <c r="W52" i="1" s="1"/>
  <c r="I53" i="1"/>
  <c r="X53" i="1" s="1"/>
  <c r="I45" i="1"/>
  <c r="X45" i="1" s="1"/>
  <c r="I46" i="1"/>
  <c r="T46" i="1" s="1"/>
  <c r="I47" i="1"/>
  <c r="X47" i="1" s="1"/>
  <c r="I48" i="1"/>
  <c r="X48" i="1" s="1"/>
  <c r="I40" i="1"/>
  <c r="X40" i="1" s="1"/>
  <c r="I41" i="1"/>
  <c r="X41" i="1" s="1"/>
  <c r="I42" i="1"/>
  <c r="X42" i="1" s="1"/>
  <c r="I43" i="1"/>
  <c r="X43" i="1" s="1"/>
  <c r="I35" i="1"/>
  <c r="X35" i="1" s="1"/>
  <c r="I36" i="1"/>
  <c r="X36" i="1" s="1"/>
  <c r="I37" i="1"/>
  <c r="X37" i="1" s="1"/>
  <c r="I38" i="1"/>
  <c r="X38" i="1" s="1"/>
  <c r="I30" i="1"/>
  <c r="X30" i="1" s="1"/>
  <c r="I31" i="1"/>
  <c r="X31" i="1" s="1"/>
  <c r="I32" i="1"/>
  <c r="X32" i="1" s="1"/>
  <c r="I33" i="1"/>
  <c r="X33" i="1" s="1"/>
  <c r="I25" i="1"/>
  <c r="X25" i="1" s="1"/>
  <c r="I26" i="1"/>
  <c r="X26" i="1" s="1"/>
  <c r="I27" i="1"/>
  <c r="X27" i="1" s="1"/>
  <c r="I28" i="1"/>
  <c r="X28" i="1" s="1"/>
  <c r="I20" i="1"/>
  <c r="X20" i="1" s="1"/>
  <c r="I21" i="1"/>
  <c r="X21" i="1" s="1"/>
  <c r="I22" i="1"/>
  <c r="X22" i="1" s="1"/>
  <c r="I23" i="1"/>
  <c r="X23" i="1" s="1"/>
  <c r="I15" i="1"/>
  <c r="X15" i="1" s="1"/>
  <c r="I16" i="1"/>
  <c r="X16" i="1" s="1"/>
  <c r="I17" i="1"/>
  <c r="X17" i="1" s="1"/>
  <c r="I18" i="1"/>
  <c r="X18" i="1" s="1"/>
  <c r="I10" i="1"/>
  <c r="X10" i="1" s="1"/>
  <c r="I11" i="1"/>
  <c r="X11" i="1" s="1"/>
  <c r="I12" i="1"/>
  <c r="X12" i="1" s="1"/>
  <c r="I13" i="1"/>
  <c r="X13" i="1" s="1"/>
  <c r="I5" i="1"/>
  <c r="X5" i="1" s="1"/>
  <c r="I6" i="1"/>
  <c r="X6" i="1" s="1"/>
  <c r="I7" i="1"/>
  <c r="X7" i="1" s="1"/>
  <c r="I8" i="1"/>
  <c r="X8" i="1" s="1"/>
  <c r="I4" i="1"/>
  <c r="M4" i="1" s="1"/>
  <c r="I19" i="1"/>
  <c r="X19" i="1" s="1"/>
  <c r="I24" i="1"/>
  <c r="X24" i="1" s="1"/>
  <c r="I29" i="1"/>
  <c r="X29" i="1" s="1"/>
  <c r="I34" i="1"/>
  <c r="X34" i="1" s="1"/>
  <c r="I39" i="1"/>
  <c r="X39" i="1" s="1"/>
  <c r="I44" i="1"/>
  <c r="X44" i="1" s="1"/>
  <c r="I49" i="1"/>
  <c r="X49" i="1" s="1"/>
  <c r="I14" i="1"/>
  <c r="X14" i="1" s="1"/>
  <c r="I9" i="1"/>
  <c r="X9" i="1" s="1"/>
  <c r="Z19" i="4" l="1"/>
  <c r="Z43" i="4"/>
  <c r="Z27" i="4"/>
  <c r="Z14" i="4"/>
  <c r="N17" i="2"/>
  <c r="Z10" i="4"/>
  <c r="N18" i="2"/>
  <c r="Z42" i="4"/>
  <c r="Z34" i="4"/>
  <c r="Z30" i="4"/>
  <c r="N15" i="2"/>
  <c r="Z48" i="4"/>
  <c r="Z32" i="4"/>
  <c r="Z16" i="4"/>
  <c r="Z41" i="4"/>
  <c r="Z25" i="4"/>
  <c r="Z9" i="4"/>
  <c r="Z22" i="4"/>
  <c r="Z44" i="4"/>
  <c r="Z28" i="4"/>
  <c r="Z12" i="4"/>
  <c r="Z53" i="4"/>
  <c r="Z37" i="4"/>
  <c r="Z21" i="4"/>
  <c r="Z5" i="4"/>
  <c r="N14" i="2"/>
  <c r="Z38" i="4"/>
  <c r="Z40" i="4"/>
  <c r="Z24" i="4"/>
  <c r="Z8" i="4"/>
  <c r="Z6" i="4"/>
  <c r="Z49" i="4"/>
  <c r="Z33" i="4"/>
  <c r="Z17" i="4"/>
  <c r="Z46" i="4"/>
  <c r="Z11" i="4"/>
  <c r="Z18" i="4"/>
  <c r="Z52" i="4"/>
  <c r="Z36" i="4"/>
  <c r="Z20" i="4"/>
  <c r="Z4" i="4"/>
  <c r="Z45" i="4"/>
  <c r="Z29" i="4"/>
  <c r="Z13" i="4"/>
  <c r="Z50" i="4"/>
  <c r="N16" i="2"/>
  <c r="Z26" i="4"/>
  <c r="F17" i="2"/>
  <c r="F15" i="2"/>
  <c r="F16" i="2"/>
  <c r="F18" i="2"/>
  <c r="J13" i="2"/>
  <c r="K13" i="2"/>
  <c r="J12" i="2"/>
  <c r="J11" i="2"/>
  <c r="H13" i="2"/>
  <c r="G12" i="2"/>
  <c r="I11" i="2"/>
  <c r="I13" i="2"/>
  <c r="I12" i="2"/>
  <c r="H11" i="2"/>
  <c r="J10" i="2"/>
  <c r="G11" i="2"/>
  <c r="L12" i="2"/>
  <c r="I10" i="2"/>
  <c r="G13" i="2"/>
  <c r="K12" i="2"/>
  <c r="H10" i="2"/>
  <c r="G9" i="2"/>
  <c r="G10" i="2"/>
  <c r="I9" i="2"/>
  <c r="L10" i="2"/>
  <c r="H9" i="2"/>
  <c r="K10" i="2"/>
  <c r="J9" i="2"/>
  <c r="K9" i="2"/>
  <c r="L11" i="2"/>
  <c r="L9" i="2"/>
  <c r="L13" i="2"/>
  <c r="H12" i="2"/>
  <c r="K11" i="2"/>
  <c r="E14" i="2"/>
  <c r="M14" i="2"/>
  <c r="O15" i="2"/>
  <c r="O14" i="2"/>
  <c r="O16" i="2"/>
  <c r="O17" i="2"/>
  <c r="O18" i="2"/>
  <c r="E13" i="2"/>
  <c r="M9" i="2"/>
  <c r="O10" i="2"/>
  <c r="O12" i="2"/>
  <c r="O13" i="2"/>
  <c r="O11" i="2"/>
  <c r="O9" i="2"/>
  <c r="E12" i="2"/>
  <c r="F10" i="2"/>
  <c r="F9" i="2"/>
  <c r="F12" i="2"/>
  <c r="N11" i="2"/>
  <c r="E10" i="2"/>
  <c r="N12" i="2"/>
  <c r="F11" i="2"/>
  <c r="E11" i="2"/>
  <c r="N10" i="2"/>
  <c r="E9" i="2"/>
  <c r="D13" i="2"/>
  <c r="M11" i="2"/>
  <c r="M13" i="2"/>
  <c r="D10" i="2"/>
  <c r="D12" i="2"/>
  <c r="M10" i="2"/>
  <c r="N13" i="2"/>
  <c r="D9" i="2"/>
  <c r="N9" i="2"/>
  <c r="M12" i="2"/>
  <c r="F13" i="2"/>
  <c r="D11" i="2"/>
  <c r="M17" i="2"/>
  <c r="E17" i="2"/>
  <c r="E18" i="2"/>
  <c r="E15" i="2"/>
  <c r="M16" i="2"/>
  <c r="D15" i="2"/>
  <c r="D18" i="2"/>
  <c r="D16" i="2"/>
  <c r="M18" i="2"/>
  <c r="E16" i="2"/>
  <c r="F14" i="2"/>
  <c r="D17" i="2"/>
  <c r="M15" i="2"/>
  <c r="D14" i="2"/>
  <c r="L48" i="1"/>
  <c r="L45" i="1"/>
  <c r="M48" i="1"/>
  <c r="M47" i="1"/>
  <c r="M40" i="1"/>
  <c r="U53" i="1"/>
  <c r="U48" i="1"/>
  <c r="T53" i="1"/>
  <c r="T43" i="1"/>
  <c r="K48" i="1"/>
  <c r="T42" i="1"/>
  <c r="K47" i="1"/>
  <c r="T41" i="1"/>
  <c r="K46" i="1"/>
  <c r="T31" i="1"/>
  <c r="K45" i="1"/>
  <c r="U45" i="1"/>
  <c r="K42" i="1"/>
  <c r="U42" i="1"/>
  <c r="L53" i="1"/>
  <c r="U41" i="1"/>
  <c r="L50" i="1"/>
  <c r="U40" i="1"/>
  <c r="L47" i="1"/>
  <c r="T47" i="1"/>
  <c r="K36" i="1"/>
  <c r="K24" i="1"/>
  <c r="K12" i="1"/>
  <c r="L38" i="1"/>
  <c r="L26" i="1"/>
  <c r="L14" i="1"/>
  <c r="M52" i="1"/>
  <c r="M28" i="1"/>
  <c r="M16" i="1"/>
  <c r="U4" i="1"/>
  <c r="U30" i="1"/>
  <c r="U18" i="1"/>
  <c r="U6" i="1"/>
  <c r="T44" i="1"/>
  <c r="T32" i="1"/>
  <c r="T20" i="1"/>
  <c r="T8" i="1"/>
  <c r="K35" i="1"/>
  <c r="K23" i="1"/>
  <c r="K11" i="1"/>
  <c r="L49" i="1"/>
  <c r="L37" i="1"/>
  <c r="L25" i="1"/>
  <c r="L13" i="1"/>
  <c r="M51" i="1"/>
  <c r="M39" i="1"/>
  <c r="M27" i="1"/>
  <c r="M15" i="1"/>
  <c r="U29" i="1"/>
  <c r="U17" i="1"/>
  <c r="U5" i="1"/>
  <c r="T19" i="1"/>
  <c r="T7" i="1"/>
  <c r="K34" i="1"/>
  <c r="K22" i="1"/>
  <c r="K10" i="1"/>
  <c r="L36" i="1"/>
  <c r="L24" i="1"/>
  <c r="L12" i="1"/>
  <c r="M50" i="1"/>
  <c r="M38" i="1"/>
  <c r="M26" i="1"/>
  <c r="M14" i="1"/>
  <c r="U52" i="1"/>
  <c r="U28" i="1"/>
  <c r="U16" i="1"/>
  <c r="T4" i="1"/>
  <c r="T30" i="1"/>
  <c r="T18" i="1"/>
  <c r="T6" i="1"/>
  <c r="X52" i="1"/>
  <c r="K33" i="1"/>
  <c r="K21" i="1"/>
  <c r="K9" i="1"/>
  <c r="L35" i="1"/>
  <c r="L23" i="1"/>
  <c r="L11" i="1"/>
  <c r="M49" i="1"/>
  <c r="M37" i="1"/>
  <c r="M25" i="1"/>
  <c r="M13" i="1"/>
  <c r="U51" i="1"/>
  <c r="U39" i="1"/>
  <c r="U27" i="1"/>
  <c r="U15" i="1"/>
  <c r="T29" i="1"/>
  <c r="T17" i="1"/>
  <c r="T5" i="1"/>
  <c r="W46" i="1"/>
  <c r="K44" i="1"/>
  <c r="K32" i="1"/>
  <c r="K20" i="1"/>
  <c r="K8" i="1"/>
  <c r="L46" i="1"/>
  <c r="L34" i="1"/>
  <c r="L22" i="1"/>
  <c r="L10" i="1"/>
  <c r="M36" i="1"/>
  <c r="M24" i="1"/>
  <c r="M12" i="1"/>
  <c r="U50" i="1"/>
  <c r="U38" i="1"/>
  <c r="U26" i="1"/>
  <c r="U14" i="1"/>
  <c r="T52" i="1"/>
  <c r="T40" i="1"/>
  <c r="T28" i="1"/>
  <c r="T16" i="1"/>
  <c r="X46" i="1"/>
  <c r="K43" i="1"/>
  <c r="K31" i="1"/>
  <c r="K19" i="1"/>
  <c r="K7" i="1"/>
  <c r="L33" i="1"/>
  <c r="L21" i="1"/>
  <c r="L9" i="1"/>
  <c r="M35" i="1"/>
  <c r="M23" i="1"/>
  <c r="M11" i="1"/>
  <c r="U49" i="1"/>
  <c r="U37" i="1"/>
  <c r="U25" i="1"/>
  <c r="U13" i="1"/>
  <c r="T51" i="1"/>
  <c r="T39" i="1"/>
  <c r="T27" i="1"/>
  <c r="T15" i="1"/>
  <c r="K4" i="1"/>
  <c r="K30" i="1"/>
  <c r="K18" i="1"/>
  <c r="K6" i="1"/>
  <c r="L44" i="1"/>
  <c r="L32" i="1"/>
  <c r="L20" i="1"/>
  <c r="L8" i="1"/>
  <c r="M46" i="1"/>
  <c r="M34" i="1"/>
  <c r="M22" i="1"/>
  <c r="M10" i="1"/>
  <c r="U36" i="1"/>
  <c r="U24" i="1"/>
  <c r="U12" i="1"/>
  <c r="T50" i="1"/>
  <c r="T38" i="1"/>
  <c r="T26" i="1"/>
  <c r="T14" i="1"/>
  <c r="K53" i="1"/>
  <c r="K41" i="1"/>
  <c r="K29" i="1"/>
  <c r="K17" i="1"/>
  <c r="K5" i="1"/>
  <c r="L43" i="1"/>
  <c r="L31" i="1"/>
  <c r="L19" i="1"/>
  <c r="L7" i="1"/>
  <c r="M45" i="1"/>
  <c r="M33" i="1"/>
  <c r="M21" i="1"/>
  <c r="M9" i="1"/>
  <c r="U47" i="1"/>
  <c r="U35" i="1"/>
  <c r="U23" i="1"/>
  <c r="U11" i="1"/>
  <c r="T49" i="1"/>
  <c r="T37" i="1"/>
  <c r="T25" i="1"/>
  <c r="T13" i="1"/>
  <c r="K52" i="1"/>
  <c r="K40" i="1"/>
  <c r="K28" i="1"/>
  <c r="K16" i="1"/>
  <c r="L4" i="1"/>
  <c r="L42" i="1"/>
  <c r="L30" i="1"/>
  <c r="L18" i="1"/>
  <c r="L6" i="1"/>
  <c r="M44" i="1"/>
  <c r="M32" i="1"/>
  <c r="M20" i="1"/>
  <c r="M8" i="1"/>
  <c r="U46" i="1"/>
  <c r="U34" i="1"/>
  <c r="U22" i="1"/>
  <c r="U10" i="1"/>
  <c r="T48" i="1"/>
  <c r="T36" i="1"/>
  <c r="T24" i="1"/>
  <c r="T12" i="1"/>
  <c r="K51" i="1"/>
  <c r="K39" i="1"/>
  <c r="K27" i="1"/>
  <c r="K15" i="1"/>
  <c r="L41" i="1"/>
  <c r="L29" i="1"/>
  <c r="L17" i="1"/>
  <c r="L5" i="1"/>
  <c r="M43" i="1"/>
  <c r="M31" i="1"/>
  <c r="M19" i="1"/>
  <c r="M7" i="1"/>
  <c r="U33" i="1"/>
  <c r="U21" i="1"/>
  <c r="U9" i="1"/>
  <c r="T35" i="1"/>
  <c r="T23" i="1"/>
  <c r="T11" i="1"/>
  <c r="K50" i="1"/>
  <c r="K38" i="1"/>
  <c r="K26" i="1"/>
  <c r="K14" i="1"/>
  <c r="L52" i="1"/>
  <c r="L40" i="1"/>
  <c r="L28" i="1"/>
  <c r="L16" i="1"/>
  <c r="M42" i="1"/>
  <c r="M30" i="1"/>
  <c r="M18" i="1"/>
  <c r="M6" i="1"/>
  <c r="U44" i="1"/>
  <c r="U32" i="1"/>
  <c r="U20" i="1"/>
  <c r="U8" i="1"/>
  <c r="T34" i="1"/>
  <c r="T22" i="1"/>
  <c r="T10" i="1"/>
  <c r="K49" i="1"/>
  <c r="K37" i="1"/>
  <c r="K25" i="1"/>
  <c r="K13" i="1"/>
  <c r="L51" i="1"/>
  <c r="L39" i="1"/>
  <c r="L27" i="1"/>
  <c r="L15" i="1"/>
  <c r="M53" i="1"/>
  <c r="M41" i="1"/>
  <c r="M29" i="1"/>
  <c r="M17" i="1"/>
  <c r="M5" i="1"/>
  <c r="U43" i="1"/>
  <c r="U31" i="1"/>
  <c r="U19" i="1"/>
  <c r="U7" i="1"/>
  <c r="T45" i="1"/>
  <c r="T33" i="1"/>
  <c r="T21" i="1"/>
  <c r="T9" i="1"/>
  <c r="W40" i="1"/>
  <c r="W34" i="1"/>
  <c r="W28" i="1"/>
  <c r="W22" i="1"/>
  <c r="W16" i="1"/>
  <c r="W10" i="1"/>
  <c r="W51" i="1"/>
  <c r="W45" i="1"/>
  <c r="W39" i="1"/>
  <c r="W33" i="1"/>
  <c r="W27" i="1"/>
  <c r="W21" i="1"/>
  <c r="W15" i="1"/>
  <c r="W9" i="1"/>
  <c r="W50" i="1"/>
  <c r="W44" i="1"/>
  <c r="W38" i="1"/>
  <c r="W32" i="1"/>
  <c r="W26" i="1"/>
  <c r="W20" i="1"/>
  <c r="W14" i="1"/>
  <c r="W8" i="1"/>
  <c r="W49" i="1"/>
  <c r="W43" i="1"/>
  <c r="W37" i="1"/>
  <c r="W31" i="1"/>
  <c r="W25" i="1"/>
  <c r="W19" i="1"/>
  <c r="W13" i="1"/>
  <c r="W7" i="1"/>
  <c r="W48" i="1"/>
  <c r="W42" i="1"/>
  <c r="W36" i="1"/>
  <c r="W30" i="1"/>
  <c r="W24" i="1"/>
  <c r="W18" i="1"/>
  <c r="W12" i="1"/>
  <c r="W6" i="1"/>
  <c r="W53" i="1"/>
  <c r="W47" i="1"/>
  <c r="W41" i="1"/>
  <c r="W35" i="1"/>
  <c r="W29" i="1"/>
  <c r="W23" i="1"/>
  <c r="W17" i="1"/>
  <c r="W11" i="1"/>
  <c r="W5" i="1"/>
  <c r="X4" i="1"/>
  <c r="W4" i="1"/>
  <c r="P14" i="2" l="1"/>
  <c r="P17" i="2"/>
  <c r="P15" i="2"/>
  <c r="P16" i="2"/>
  <c r="P18" i="2"/>
  <c r="P9" i="2"/>
  <c r="P11" i="2"/>
  <c r="P13" i="2"/>
  <c r="P12" i="2"/>
  <c r="P10" i="2"/>
  <c r="O7" i="2"/>
  <c r="O5" i="2"/>
  <c r="O6" i="2"/>
  <c r="O8" i="2"/>
  <c r="O4" i="2"/>
  <c r="D7" i="2"/>
  <c r="F4" i="2"/>
  <c r="D8" i="2"/>
  <c r="N6" i="2"/>
  <c r="F7" i="2"/>
  <c r="E6" i="2"/>
  <c r="D4" i="2"/>
  <c r="D5" i="2"/>
  <c r="M4" i="2"/>
  <c r="N8" i="2"/>
  <c r="N4" i="2"/>
  <c r="M7" i="2"/>
  <c r="E5" i="2"/>
  <c r="E4" i="2"/>
  <c r="M5" i="2"/>
  <c r="E8" i="2"/>
  <c r="N5" i="2"/>
  <c r="N7" i="2"/>
  <c r="F6" i="2"/>
  <c r="M8" i="2"/>
  <c r="F8" i="2"/>
  <c r="E7" i="2"/>
  <c r="D6" i="2"/>
  <c r="F5" i="2"/>
  <c r="M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Cory-Wright</author>
  </authors>
  <commentList>
    <comment ref="J24" authorId="0" shapeId="0" xr:uid="{329661C9-D95C-F340-8496-8CBCC9C7A814}">
      <text>
        <r>
          <rPr>
            <b/>
            <sz val="16"/>
            <color rgb="FF000000"/>
            <rFont val="Tahoma"/>
            <family val="2"/>
          </rPr>
          <t>Ryan Cory-Wright:</t>
        </r>
        <r>
          <rPr>
            <sz val="16"/>
            <color rgb="FF000000"/>
            <rFont val="Tahoma"/>
            <family val="2"/>
          </rPr>
          <t xml:space="preserve">
</t>
        </r>
        <r>
          <rPr>
            <sz val="16"/>
            <color rgb="FF000000"/>
            <rFont val="Tahoma"/>
            <family val="2"/>
          </rPr>
          <t>Didn't run experiments for n=300, n=400 since results are fairly conclusive for n=200 and this only going in the appendix anyway..</t>
        </r>
      </text>
    </comment>
  </commentList>
</comments>
</file>

<file path=xl/sharedStrings.xml><?xml version="1.0" encoding="utf-8"?>
<sst xmlns="http://schemas.openxmlformats.org/spreadsheetml/2006/main" count="7822" uniqueCount="65">
  <si>
    <t>Instance</t>
  </si>
  <si>
    <t>OA</t>
  </si>
  <si>
    <t>Method</t>
  </si>
  <si>
    <t>MISOCP</t>
  </si>
  <si>
    <t>Time (s)</t>
  </si>
  <si>
    <t>Nodes</t>
  </si>
  <si>
    <t>Cuts</t>
  </si>
  <si>
    <t>Time(s)</t>
  </si>
  <si>
    <t>Count MISOCP</t>
  </si>
  <si>
    <t>Cardinality</t>
  </si>
  <si>
    <t>Name</t>
  </si>
  <si>
    <t>200+</t>
  </si>
  <si>
    <t>Count OA</t>
  </si>
  <si>
    <t>LaTeX Version (main body of rows)</t>
  </si>
  <si>
    <t xml:space="preserve"> cardinality</t>
  </si>
  <si>
    <t xml:space="preserve"> regularizer</t>
  </si>
  <si>
    <t xml:space="preserve"> method</t>
  </si>
  <si>
    <t xml:space="preserve"> solvetime</t>
  </si>
  <si>
    <t xml:space="preserve"> nodecount</t>
  </si>
  <si>
    <t xml:space="preserve"> iters</t>
  </si>
  <si>
    <t>pard200_1</t>
  </si>
  <si>
    <t>1000/(n)</t>
  </si>
  <si>
    <t>1000/sqrt(n)</t>
  </si>
  <si>
    <t>CPLEX MISOCP</t>
  </si>
  <si>
    <t>pard200_</t>
  </si>
  <si>
    <t>pard200_2</t>
  </si>
  <si>
    <t>pard200_3</t>
  </si>
  <si>
    <t>pard200_4</t>
  </si>
  <si>
    <t>pard200_5</t>
  </si>
  <si>
    <t>pard200_6</t>
  </si>
  <si>
    <t>pard200_7</t>
  </si>
  <si>
    <t>pard200_8</t>
  </si>
  <si>
    <t>pard200_9</t>
  </si>
  <si>
    <t>pard200_10</t>
  </si>
  <si>
    <t>pard300_</t>
  </si>
  <si>
    <t>pard300_1</t>
  </si>
  <si>
    <t>pard300_2</t>
  </si>
  <si>
    <t>pard300_3</t>
  </si>
  <si>
    <t>pard300_4</t>
  </si>
  <si>
    <t>pard300_5</t>
  </si>
  <si>
    <t>pard300_6</t>
  </si>
  <si>
    <t>pard300_7</t>
  </si>
  <si>
    <t>pard300_8</t>
  </si>
  <si>
    <t>pard300_9</t>
  </si>
  <si>
    <t>300+</t>
  </si>
  <si>
    <t>pard400_</t>
  </si>
  <si>
    <t>pard400_1</t>
  </si>
  <si>
    <t>pard400_2</t>
  </si>
  <si>
    <t>pard400_3</t>
  </si>
  <si>
    <t>pard400_4</t>
  </si>
  <si>
    <t>pard400_5</t>
  </si>
  <si>
    <t>pard400_6</t>
  </si>
  <si>
    <t>pard400_7</t>
  </si>
  <si>
    <t>pard400_8</t>
  </si>
  <si>
    <t>pard400_9</t>
  </si>
  <si>
    <t>pard400_10</t>
  </si>
  <si>
    <t>400+</t>
  </si>
  <si>
    <t>pard300_10</t>
  </si>
  <si>
    <t>OA Kelley</t>
  </si>
  <si>
    <t>OA Kelley 50</t>
  </si>
  <si>
    <t>OK Kelley</t>
  </si>
  <si>
    <t>OA Kelley +50</t>
  </si>
  <si>
    <t>No. not Solved within 600s</t>
  </si>
  <si>
    <t>Size</t>
  </si>
  <si>
    <t>[Actually 200, not 400]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</si>
</sst>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rgb="FF000000"/>
      <name val="Tahoma"/>
      <family val="2"/>
    </font>
    <font>
      <sz val="16"/>
      <color rgb="FF000000"/>
      <name val="Tahoma"/>
      <family val="2"/>
    </font>
    <font>
      <sz val="1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2" fontId="0" fillId="0" borderId="0" xfId="0" applyNumberFormat="1"/>
    <xf numFmtId="0" fontId="0" fillId="0" borderId="0" xfId="0" applyFill="1"/>
    <xf numFmtId="2" fontId="0" fillId="0" borderId="0" xfId="0" applyNumberFormat="1" applyFill="1"/>
    <xf numFmtId="2" fontId="16" fillId="0" borderId="0" xfId="0" applyNumberFormat="1" applyFont="1"/>
    <xf numFmtId="11" fontId="0" fillId="0" borderId="0" xfId="0" applyNumberFormat="1"/>
    <xf numFmtId="2" fontId="0" fillId="0" borderId="0" xfId="0" applyNumberFormat="1" applyFont="1"/>
    <xf numFmtId="0" fontId="0" fillId="0" borderId="10" xfId="0" applyBorder="1"/>
    <xf numFmtId="2" fontId="20" fillId="0" borderId="0" xfId="0" applyNumberFormat="1" applyFont="1" applyFill="1"/>
    <xf numFmtId="0" fontId="15" fillId="0" borderId="0" xfId="16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304"/>
  <sheetViews>
    <sheetView topLeftCell="E1" workbookViewId="0">
      <selection activeCell="I1" sqref="I1:Z1048576"/>
    </sheetView>
  </sheetViews>
  <sheetFormatPr baseColWidth="10" defaultRowHeight="16" x14ac:dyDescent="0.2"/>
  <cols>
    <col min="1" max="1" width="13.6640625" bestFit="1" customWidth="1"/>
    <col min="6" max="6" width="10.1640625" bestFit="1" customWidth="1"/>
    <col min="7" max="7" width="5.1640625" bestFit="1" customWidth="1"/>
    <col min="23" max="23" width="11.1640625" bestFit="1" customWidth="1"/>
    <col min="24" max="24" width="12.83203125" bestFit="1" customWidth="1"/>
    <col min="26" max="26" width="43.5" bestFit="1" customWidth="1"/>
  </cols>
  <sheetData>
    <row r="1" spans="1:26" x14ac:dyDescent="0.2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10</v>
      </c>
      <c r="I1" t="s">
        <v>24</v>
      </c>
      <c r="K1" t="s">
        <v>2</v>
      </c>
    </row>
    <row r="2" spans="1:26" x14ac:dyDescent="0.2">
      <c r="A2" t="s">
        <v>20</v>
      </c>
      <c r="B2">
        <v>6</v>
      </c>
      <c r="C2" t="s">
        <v>21</v>
      </c>
      <c r="D2" t="s">
        <v>1</v>
      </c>
      <c r="E2">
        <v>0.73967194557189897</v>
      </c>
      <c r="F2">
        <v>674</v>
      </c>
      <c r="G2">
        <v>126</v>
      </c>
      <c r="K2" t="s">
        <v>1</v>
      </c>
      <c r="N2" t="s">
        <v>60</v>
      </c>
      <c r="Q2" t="s">
        <v>61</v>
      </c>
      <c r="T2" t="s">
        <v>3</v>
      </c>
      <c r="W2" t="s">
        <v>12</v>
      </c>
      <c r="X2" t="s">
        <v>8</v>
      </c>
      <c r="Z2" t="s">
        <v>13</v>
      </c>
    </row>
    <row r="3" spans="1:26" x14ac:dyDescent="0.2">
      <c r="A3" t="s">
        <v>0</v>
      </c>
      <c r="B3" t="s">
        <v>14</v>
      </c>
      <c r="C3" t="s">
        <v>15</v>
      </c>
      <c r="D3" t="s">
        <v>16</v>
      </c>
      <c r="E3" t="s">
        <v>17</v>
      </c>
      <c r="I3" t="s">
        <v>0</v>
      </c>
      <c r="J3" t="s">
        <v>9</v>
      </c>
      <c r="K3" t="s">
        <v>4</v>
      </c>
      <c r="L3" t="s">
        <v>5</v>
      </c>
      <c r="M3" t="s">
        <v>6</v>
      </c>
      <c r="N3" t="s">
        <v>4</v>
      </c>
      <c r="O3" t="s">
        <v>5</v>
      </c>
      <c r="P3" t="s">
        <v>6</v>
      </c>
      <c r="Q3" t="s">
        <v>4</v>
      </c>
      <c r="R3" t="s">
        <v>5</v>
      </c>
      <c r="S3" t="s">
        <v>6</v>
      </c>
      <c r="T3" t="s">
        <v>7</v>
      </c>
      <c r="U3" t="s">
        <v>5</v>
      </c>
    </row>
    <row r="4" spans="1:26" x14ac:dyDescent="0.2">
      <c r="A4" t="s">
        <v>20</v>
      </c>
      <c r="B4">
        <v>6</v>
      </c>
      <c r="C4" t="s">
        <v>22</v>
      </c>
      <c r="D4" t="s">
        <v>23</v>
      </c>
      <c r="E4">
        <v>28.5403971672058</v>
      </c>
      <c r="F4">
        <v>33</v>
      </c>
      <c r="I4" t="str">
        <f>CONCATENATE($I$1,"1")</f>
        <v>pard200_1</v>
      </c>
      <c r="J4">
        <v>6</v>
      </c>
      <c r="K4" s="1">
        <f>SUMIFS(E:E,D:D,"OA",B:B,J4,A:A,I4)</f>
        <v>0.73967194557189897</v>
      </c>
      <c r="L4">
        <f>SUMIFS(F:F,A:A,I4,B:B,J4,D:D,"OA")</f>
        <v>674</v>
      </c>
      <c r="M4">
        <f>SUMIFS(G:G,D:D,"OA",A:A,I4,B:B,J4)</f>
        <v>126</v>
      </c>
      <c r="N4" s="1">
        <f>SUMIFS(E:E,D:D,"OA Kelley",B:B,J4,A:A,I4)</f>
        <v>1.60837697982788</v>
      </c>
      <c r="O4">
        <f>SUMIFS(F:F,A:A,I4,B:B,J4,D:D,"OA Kelley")</f>
        <v>832</v>
      </c>
      <c r="P4">
        <f>SUMIFS(G:G,D:D,"OA Kelley",A:A,I4,B:B,J4)</f>
        <v>162</v>
      </c>
      <c r="Q4" s="1">
        <f>SUMIFS(E:E,D:D,"OA Kelley 50",B:B,J4,A:A,I4)</f>
        <v>10.803590059280381</v>
      </c>
      <c r="R4">
        <f>SUMIFS(F:F,A:A,I4,B:B,J4,D:D,"OA Kelley 50")</f>
        <v>248</v>
      </c>
      <c r="S4">
        <f>SUMIFS(G:G,D:D,"OA Kelley 50",A:A,I4,B:B,J4)</f>
        <v>36</v>
      </c>
      <c r="T4">
        <f>SUMIFS(E:E,A:A,I4,B:B,J4,D:D,"CPLEX MISOCP")</f>
        <v>28.5403971672058</v>
      </c>
      <c r="U4">
        <f>SUMIFS(F:F,A:A,I4,B:B,J4,D:D,"CPLEX MISOCP")</f>
        <v>33</v>
      </c>
      <c r="W4">
        <f t="shared" ref="W4:W35" si="0">COUNTIFS(D:D,"OA",B:B,J4,A:A,I4)</f>
        <v>1</v>
      </c>
      <c r="X4">
        <f t="shared" ref="X4:X35" si="1">COUNTIFS(D:D,"CPLEX MISOCP",B:B,J4,A:A,I4)</f>
        <v>1</v>
      </c>
      <c r="Z4" t="str">
        <f>CONCATENATE(I4," &amp; ",J4, " &amp; ", ROUND(K4,2), " &amp; ", L4, " &amp; ", M4, " &amp; ",  ROUND(N4,2), " &amp; ", O4, " &amp; ", P4, " &amp; ", ROUND(Q4,2), " &amp; ", R4, " &amp; ", S4, " &amp; ",  ROUND(T4,2), " &amp; ", U4, "\\")</f>
        <v>pard200_1 &amp; 6 &amp; 0.74 &amp; 674 &amp; 126 &amp; 1.61 &amp; 832 &amp; 162 &amp; 10.8 &amp; 248 &amp; 36 &amp; 28.54 &amp; 33\\</v>
      </c>
    </row>
    <row r="5" spans="1:26" x14ac:dyDescent="0.2">
      <c r="A5" t="s">
        <v>0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I5" t="str">
        <f t="shared" ref="I5:I8" si="2">CONCATENATE($I$1,"1")</f>
        <v>pard200_1</v>
      </c>
      <c r="J5">
        <v>8</v>
      </c>
      <c r="K5" s="1">
        <f t="shared" ref="K5:K53" si="3">SUMIFS(E:E,D:D,"OA",B:B,J5,A:A,I5)</f>
        <v>1.0986678600311199</v>
      </c>
      <c r="L5">
        <f t="shared" ref="L5:L53" si="4">SUMIFS(F:F,A:A,I5,B:B,J5,D:D,"OA")</f>
        <v>1038</v>
      </c>
      <c r="M5">
        <f t="shared" ref="M5:M53" si="5">SUMIFS(G:G,D:D,"OA",A:A,I5,B:B,J5)</f>
        <v>188</v>
      </c>
      <c r="N5" s="1">
        <f t="shared" ref="N5:N53" si="6">SUMIFS(E:E,D:D,"OA Kelley",B:B,J5,A:A,I5)</f>
        <v>2.0020680427551212</v>
      </c>
      <c r="O5">
        <f t="shared" ref="O5:O53" si="7">SUMIFS(F:F,A:A,I5,B:B,J5,D:D,"OA Kelley")</f>
        <v>1140</v>
      </c>
      <c r="P5">
        <f t="shared" ref="P5:P53" si="8">SUMIFS(G:G,D:D,"OA Kelley",A:A,I5,B:B,J5)</f>
        <v>220</v>
      </c>
      <c r="Q5" s="1">
        <f t="shared" ref="Q5:Q53" si="9">SUMIFS(E:E,D:D,"OA Kelley 50",B:B,J5,A:A,I5)</f>
        <v>12.95086097717285</v>
      </c>
      <c r="R5">
        <f t="shared" ref="R5:R53" si="10">SUMIFS(F:F,A:A,I5,B:B,J5,D:D,"OA Kelley 50")</f>
        <v>488</v>
      </c>
      <c r="S5">
        <f t="shared" ref="S5:S53" si="11">SUMIFS(G:G,D:D,"OA Kelley 50",A:A,I5,B:B,J5)</f>
        <v>60</v>
      </c>
      <c r="T5">
        <f t="shared" ref="T5:T53" si="12">SUMIFS(E:E,A:A,I5,B:B,J5,D:D,"CPLEX MISOCP")</f>
        <v>30.6275570392608</v>
      </c>
      <c r="U5">
        <f t="shared" ref="U5:U53" si="13">SUMIFS(F:F,A:A,I5,B:B,J5,D:D,"CPLEX MISOCP")</f>
        <v>33</v>
      </c>
      <c r="W5">
        <f t="shared" si="0"/>
        <v>1</v>
      </c>
      <c r="X5">
        <f t="shared" si="1"/>
        <v>1</v>
      </c>
      <c r="Z5" t="str">
        <f t="shared" ref="Z5:Z7" si="14">CONCATENATE(I5," &amp; ",J5, " &amp; ", ROUND(K5,2), " &amp; ", L5, " &amp; ", M5, " &amp; ",  ROUND(N5,2), " &amp; ", O5, " &amp; ", P5, " &amp; ", ROUND(Q5,2), " &amp; ", R5, " &amp; ", S5, " &amp; ",  ROUND(T5,2), " &amp; ", U5, "\\")</f>
        <v>pard200_1 &amp; 8 &amp; 1.1 &amp; 1038 &amp; 188 &amp; 2 &amp; 1140 &amp; 220 &amp; 12.95 &amp; 488 &amp; 60 &amp; 30.63 &amp; 33\\</v>
      </c>
    </row>
    <row r="6" spans="1:26" x14ac:dyDescent="0.2">
      <c r="A6" t="s">
        <v>20</v>
      </c>
      <c r="B6">
        <v>8</v>
      </c>
      <c r="C6" t="s">
        <v>21</v>
      </c>
      <c r="D6" t="s">
        <v>1</v>
      </c>
      <c r="E6">
        <v>1.0986678600311199</v>
      </c>
      <c r="F6">
        <v>1038</v>
      </c>
      <c r="G6">
        <v>188</v>
      </c>
      <c r="I6" t="str">
        <f t="shared" si="2"/>
        <v>pard200_1</v>
      </c>
      <c r="J6">
        <v>10</v>
      </c>
      <c r="K6" s="1">
        <f t="shared" si="3"/>
        <v>8.72649693489074</v>
      </c>
      <c r="L6">
        <f t="shared" si="4"/>
        <v>8844</v>
      </c>
      <c r="M6">
        <f t="shared" si="5"/>
        <v>654</v>
      </c>
      <c r="N6" s="1">
        <f t="shared" si="6"/>
        <v>8.5751991271972603</v>
      </c>
      <c r="O6">
        <f t="shared" si="7"/>
        <v>6582</v>
      </c>
      <c r="P6">
        <f t="shared" si="8"/>
        <v>494</v>
      </c>
      <c r="Q6" s="1">
        <f t="shared" si="9"/>
        <v>12.437753915786701</v>
      </c>
      <c r="R6">
        <f t="shared" si="10"/>
        <v>2838</v>
      </c>
      <c r="S6">
        <f t="shared" si="11"/>
        <v>180</v>
      </c>
      <c r="T6">
        <f t="shared" si="12"/>
        <v>65.044925928115802</v>
      </c>
      <c r="U6">
        <f t="shared" si="13"/>
        <v>69</v>
      </c>
      <c r="W6">
        <f t="shared" si="0"/>
        <v>1</v>
      </c>
      <c r="X6">
        <f t="shared" si="1"/>
        <v>1</v>
      </c>
      <c r="Z6" t="str">
        <f t="shared" si="14"/>
        <v>pard200_1 &amp; 10 &amp; 8.73 &amp; 8844 &amp; 654 &amp; 8.58 &amp; 6582 &amp; 494 &amp; 12.44 &amp; 2838 &amp; 180 &amp; 65.04 &amp; 69\\</v>
      </c>
    </row>
    <row r="7" spans="1:26" x14ac:dyDescent="0.2">
      <c r="A7" t="s">
        <v>0</v>
      </c>
      <c r="B7" t="s">
        <v>14</v>
      </c>
      <c r="C7" t="s">
        <v>15</v>
      </c>
      <c r="D7" t="s">
        <v>16</v>
      </c>
      <c r="E7" t="s">
        <v>17</v>
      </c>
      <c r="I7" t="str">
        <f t="shared" si="2"/>
        <v>pard200_1</v>
      </c>
      <c r="J7">
        <v>12</v>
      </c>
      <c r="K7" s="1">
        <f t="shared" si="3"/>
        <v>1.3682370185852</v>
      </c>
      <c r="L7">
        <f t="shared" si="4"/>
        <v>1902</v>
      </c>
      <c r="M7">
        <f t="shared" si="5"/>
        <v>136</v>
      </c>
      <c r="N7" s="1">
        <f t="shared" si="6"/>
        <v>1.05165791511535</v>
      </c>
      <c r="O7">
        <f t="shared" si="7"/>
        <v>1079</v>
      </c>
      <c r="P7">
        <f t="shared" si="8"/>
        <v>74</v>
      </c>
      <c r="Q7" s="1">
        <f t="shared" si="9"/>
        <v>7.8441359996795601</v>
      </c>
      <c r="R7">
        <f t="shared" si="10"/>
        <v>532</v>
      </c>
      <c r="S7">
        <f t="shared" si="11"/>
        <v>29</v>
      </c>
      <c r="T7">
        <f t="shared" si="12"/>
        <v>130.94880914688099</v>
      </c>
      <c r="U7">
        <f t="shared" si="13"/>
        <v>122</v>
      </c>
      <c r="W7">
        <f t="shared" si="0"/>
        <v>1</v>
      </c>
      <c r="X7">
        <f t="shared" si="1"/>
        <v>1</v>
      </c>
      <c r="Z7" t="str">
        <f t="shared" si="14"/>
        <v>pard200_1 &amp; 12 &amp; 1.37 &amp; 1902 &amp; 136 &amp; 1.05 &amp; 1079 &amp; 74 &amp; 7.84 &amp; 532 &amp; 29 &amp; 130.95 &amp; 122\\</v>
      </c>
    </row>
    <row r="8" spans="1:26" x14ac:dyDescent="0.2">
      <c r="A8" t="s">
        <v>20</v>
      </c>
      <c r="B8">
        <v>8</v>
      </c>
      <c r="C8" t="s">
        <v>22</v>
      </c>
      <c r="D8" t="s">
        <v>23</v>
      </c>
      <c r="E8">
        <v>30.6275570392608</v>
      </c>
      <c r="F8">
        <v>33</v>
      </c>
      <c r="I8" t="str">
        <f t="shared" si="2"/>
        <v>pard200_1</v>
      </c>
      <c r="J8">
        <v>200</v>
      </c>
      <c r="K8" s="1">
        <f t="shared" si="3"/>
        <v>1.6610810756683301</v>
      </c>
      <c r="L8">
        <f t="shared" si="4"/>
        <v>3026</v>
      </c>
      <c r="M8">
        <f t="shared" si="5"/>
        <v>123</v>
      </c>
      <c r="N8" s="1">
        <f t="shared" si="6"/>
        <v>1.57561707496643</v>
      </c>
      <c r="O8">
        <f t="shared" si="7"/>
        <v>1182</v>
      </c>
      <c r="P8">
        <f t="shared" si="8"/>
        <v>101</v>
      </c>
      <c r="Q8" s="1">
        <f t="shared" si="9"/>
        <v>9.6763510704040492</v>
      </c>
      <c r="R8">
        <f t="shared" si="10"/>
        <v>928</v>
      </c>
      <c r="S8">
        <f t="shared" si="11"/>
        <v>79</v>
      </c>
      <c r="T8">
        <f t="shared" si="12"/>
        <v>600.00327110290505</v>
      </c>
      <c r="U8">
        <f t="shared" si="13"/>
        <v>624</v>
      </c>
      <c r="W8">
        <f t="shared" si="0"/>
        <v>1</v>
      </c>
      <c r="X8">
        <f t="shared" si="1"/>
        <v>1</v>
      </c>
      <c r="Z8" t="str">
        <f>CONCATENATE(I8," &amp; ","nc", " &amp; ", ROUND(K8,2), " &amp; ", L8, " &amp; ", M8, " &amp; ",  ROUND(N8,2), " &amp; ", O8, " &amp; ", P8, " &amp; ", ROUND(Q8,2), " &amp; ", R8, " &amp; ", S8, " &amp; ",  ROUND(T8,2), " &amp; ", U8, "\\")</f>
        <v>pard200_1 &amp; nc &amp; 1.66 &amp; 3026 &amp; 123 &amp; 1.58 &amp; 1182 &amp; 101 &amp; 9.68 &amp; 928 &amp; 79 &amp; 600 &amp; 624\\</v>
      </c>
    </row>
    <row r="9" spans="1:26" x14ac:dyDescent="0.2">
      <c r="A9" t="s">
        <v>0</v>
      </c>
      <c r="B9" t="s">
        <v>14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I9" t="str">
        <f>CONCATENATE($I$1,"2")</f>
        <v>pard200_2</v>
      </c>
      <c r="J9">
        <v>6</v>
      </c>
      <c r="K9" s="1">
        <f t="shared" si="3"/>
        <v>0.13274407386779699</v>
      </c>
      <c r="L9">
        <f t="shared" si="4"/>
        <v>141</v>
      </c>
      <c r="M9">
        <f t="shared" si="5"/>
        <v>24</v>
      </c>
      <c r="N9" s="1">
        <f t="shared" si="6"/>
        <v>0.156089067459106</v>
      </c>
      <c r="O9">
        <f t="shared" si="7"/>
        <v>81</v>
      </c>
      <c r="P9">
        <f t="shared" si="8"/>
        <v>10</v>
      </c>
      <c r="Q9" s="1">
        <f t="shared" si="9"/>
        <v>3.2084181308746298</v>
      </c>
      <c r="R9">
        <f t="shared" si="10"/>
        <v>42</v>
      </c>
      <c r="S9">
        <f t="shared" si="11"/>
        <v>5</v>
      </c>
      <c r="T9">
        <f t="shared" si="12"/>
        <v>33.261487007141099</v>
      </c>
      <c r="U9">
        <f t="shared" si="13"/>
        <v>37</v>
      </c>
      <c r="W9">
        <f t="shared" si="0"/>
        <v>1</v>
      </c>
      <c r="X9">
        <f t="shared" si="1"/>
        <v>1</v>
      </c>
      <c r="Z9" t="str">
        <f>CONCATENATE(I9," &amp; ",J9, " &amp; ", ROUND(K9,2), " &amp; ", L9, " &amp; ", M9, " &amp; ",  ROUND(N9,2), " &amp; ", O9, " &amp; ", P9, " &amp; ", ROUND(Q9,2), " &amp; ", R9, " &amp; ", S9, " &amp; ",  ROUND(T9,2), " &amp; ", U9, "\\")</f>
        <v>pard200_2 &amp; 6 &amp; 0.13 &amp; 141 &amp; 24 &amp; 0.16 &amp; 81 &amp; 10 &amp; 3.21 &amp; 42 &amp; 5 &amp; 33.26 &amp; 37\\</v>
      </c>
    </row>
    <row r="10" spans="1:26" x14ac:dyDescent="0.2">
      <c r="A10" t="s">
        <v>20</v>
      </c>
      <c r="B10">
        <v>10</v>
      </c>
      <c r="C10" t="s">
        <v>21</v>
      </c>
      <c r="D10" t="s">
        <v>1</v>
      </c>
      <c r="E10">
        <v>8.72649693489074</v>
      </c>
      <c r="F10">
        <v>8844</v>
      </c>
      <c r="G10">
        <v>654</v>
      </c>
      <c r="I10" t="str">
        <f t="shared" ref="I10:I13" si="15">CONCATENATE($I$1,"2")</f>
        <v>pard200_2</v>
      </c>
      <c r="J10">
        <v>8</v>
      </c>
      <c r="K10" s="1">
        <f t="shared" si="3"/>
        <v>0.35944104194641102</v>
      </c>
      <c r="L10">
        <f t="shared" si="4"/>
        <v>327</v>
      </c>
      <c r="M10">
        <f t="shared" si="5"/>
        <v>59</v>
      </c>
      <c r="N10" s="1">
        <f t="shared" si="6"/>
        <v>0.27508807182312001</v>
      </c>
      <c r="O10">
        <f t="shared" si="7"/>
        <v>117</v>
      </c>
      <c r="P10">
        <f t="shared" si="8"/>
        <v>23</v>
      </c>
      <c r="Q10" s="1">
        <f t="shared" si="9"/>
        <v>5.1890900135040203</v>
      </c>
      <c r="R10">
        <f t="shared" si="10"/>
        <v>64</v>
      </c>
      <c r="S10">
        <f t="shared" si="11"/>
        <v>11</v>
      </c>
      <c r="T10">
        <f t="shared" si="12"/>
        <v>35.901252985000603</v>
      </c>
      <c r="U10">
        <f t="shared" si="13"/>
        <v>29</v>
      </c>
      <c r="W10">
        <f t="shared" si="0"/>
        <v>1</v>
      </c>
      <c r="X10">
        <f t="shared" si="1"/>
        <v>1</v>
      </c>
      <c r="Z10" t="str">
        <f t="shared" ref="Z10:Z12" si="16">CONCATENATE(I10," &amp; ",J10, " &amp; ", ROUND(K10,2), " &amp; ", L10, " &amp; ", M10, " &amp; ",  ROUND(N10,2), " &amp; ", O10, " &amp; ", P10, " &amp; ", ROUND(Q10,2), " &amp; ", R10, " &amp; ", S10, " &amp; ",  ROUND(T10,2), " &amp; ", U10, "\\")</f>
        <v>pard200_2 &amp; 8 &amp; 0.36 &amp; 327 &amp; 59 &amp; 0.28 &amp; 117 &amp; 23 &amp; 5.19 &amp; 64 &amp; 11 &amp; 35.9 &amp; 29\\</v>
      </c>
    </row>
    <row r="11" spans="1:26" x14ac:dyDescent="0.2">
      <c r="A11" t="s">
        <v>0</v>
      </c>
      <c r="B11" t="s">
        <v>14</v>
      </c>
      <c r="C11" t="s">
        <v>15</v>
      </c>
      <c r="D11" t="s">
        <v>16</v>
      </c>
      <c r="E11" t="s">
        <v>17</v>
      </c>
      <c r="I11" t="str">
        <f t="shared" si="15"/>
        <v>pard200_2</v>
      </c>
      <c r="J11">
        <v>10</v>
      </c>
      <c r="K11" s="1">
        <f t="shared" si="3"/>
        <v>4.18753790855407</v>
      </c>
      <c r="L11">
        <f t="shared" si="4"/>
        <v>6313</v>
      </c>
      <c r="M11">
        <f t="shared" si="5"/>
        <v>317</v>
      </c>
      <c r="N11" s="1">
        <f t="shared" si="6"/>
        <v>4.0738010406494096</v>
      </c>
      <c r="O11">
        <f t="shared" si="7"/>
        <v>4449</v>
      </c>
      <c r="P11">
        <f t="shared" si="8"/>
        <v>243</v>
      </c>
      <c r="Q11" s="1">
        <f t="shared" si="9"/>
        <v>10.617407083511299</v>
      </c>
      <c r="R11">
        <f t="shared" si="10"/>
        <v>2530</v>
      </c>
      <c r="S11">
        <f t="shared" si="11"/>
        <v>144</v>
      </c>
      <c r="T11">
        <f t="shared" si="12"/>
        <v>278.61708498001099</v>
      </c>
      <c r="U11">
        <f t="shared" si="13"/>
        <v>331</v>
      </c>
      <c r="W11">
        <f t="shared" si="0"/>
        <v>1</v>
      </c>
      <c r="X11">
        <f t="shared" si="1"/>
        <v>1</v>
      </c>
      <c r="Z11" t="str">
        <f t="shared" si="16"/>
        <v>pard200_2 &amp; 10 &amp; 4.19 &amp; 6313 &amp; 317 &amp; 4.07 &amp; 4449 &amp; 243 &amp; 10.62 &amp; 2530 &amp; 144 &amp; 278.62 &amp; 331\\</v>
      </c>
    </row>
    <row r="12" spans="1:26" x14ac:dyDescent="0.2">
      <c r="A12" t="s">
        <v>20</v>
      </c>
      <c r="B12">
        <v>10</v>
      </c>
      <c r="C12" t="s">
        <v>22</v>
      </c>
      <c r="D12" t="s">
        <v>23</v>
      </c>
      <c r="E12">
        <v>65.044925928115802</v>
      </c>
      <c r="F12">
        <v>69</v>
      </c>
      <c r="I12" t="str">
        <f t="shared" si="15"/>
        <v>pard200_2</v>
      </c>
      <c r="J12">
        <v>12</v>
      </c>
      <c r="K12" s="1">
        <f t="shared" si="3"/>
        <v>0.64803504943847601</v>
      </c>
      <c r="L12">
        <f t="shared" si="4"/>
        <v>1953</v>
      </c>
      <c r="M12">
        <f t="shared" si="5"/>
        <v>20</v>
      </c>
      <c r="N12" s="1">
        <f t="shared" si="6"/>
        <v>0.42392897605895902</v>
      </c>
      <c r="O12">
        <f t="shared" si="7"/>
        <v>187</v>
      </c>
      <c r="P12">
        <f t="shared" si="8"/>
        <v>8</v>
      </c>
      <c r="Q12" s="1">
        <f t="shared" si="9"/>
        <v>7.9356319904327304</v>
      </c>
      <c r="R12">
        <f t="shared" si="10"/>
        <v>182</v>
      </c>
      <c r="S12">
        <f t="shared" si="11"/>
        <v>7</v>
      </c>
      <c r="T12">
        <f t="shared" si="12"/>
        <v>600.00081491470303</v>
      </c>
      <c r="U12">
        <f t="shared" si="13"/>
        <v>775</v>
      </c>
      <c r="W12">
        <f t="shared" si="0"/>
        <v>1</v>
      </c>
      <c r="X12">
        <f t="shared" si="1"/>
        <v>1</v>
      </c>
      <c r="Z12" t="str">
        <f t="shared" si="16"/>
        <v>pard200_2 &amp; 12 &amp; 0.65 &amp; 1953 &amp; 20 &amp; 0.42 &amp; 187 &amp; 8 &amp; 7.94 &amp; 182 &amp; 7 &amp; 600 &amp; 775\\</v>
      </c>
    </row>
    <row r="13" spans="1:26" x14ac:dyDescent="0.2">
      <c r="A13" t="s">
        <v>0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I13" t="str">
        <f t="shared" si="15"/>
        <v>pard200_2</v>
      </c>
      <c r="J13">
        <v>200</v>
      </c>
      <c r="K13" s="1">
        <f t="shared" si="3"/>
        <v>0.69678711891174305</v>
      </c>
      <c r="L13">
        <f t="shared" si="4"/>
        <v>1716</v>
      </c>
      <c r="M13">
        <f t="shared" si="5"/>
        <v>24</v>
      </c>
      <c r="N13" s="1">
        <f t="shared" si="6"/>
        <v>0.52775406837463301</v>
      </c>
      <c r="O13">
        <f t="shared" si="7"/>
        <v>233</v>
      </c>
      <c r="P13">
        <f t="shared" si="8"/>
        <v>11</v>
      </c>
      <c r="Q13" s="1">
        <f t="shared" si="9"/>
        <v>7.3736209869384703</v>
      </c>
      <c r="R13">
        <f t="shared" si="10"/>
        <v>184</v>
      </c>
      <c r="S13">
        <f t="shared" si="11"/>
        <v>10</v>
      </c>
      <c r="T13">
        <f t="shared" si="12"/>
        <v>600.00539994239796</v>
      </c>
      <c r="U13">
        <f t="shared" si="13"/>
        <v>800</v>
      </c>
      <c r="W13">
        <f t="shared" si="0"/>
        <v>1</v>
      </c>
      <c r="X13">
        <f t="shared" si="1"/>
        <v>1</v>
      </c>
      <c r="Z13" t="str">
        <f>CONCATENATE(I13," &amp; ","nc", " &amp; ", ROUND(K13,2), " &amp; ", L13, " &amp; ", M13, " &amp; ",  ROUND(N13,2), " &amp; ", O13, " &amp; ", P13, " &amp; ", ROUND(Q13,2), " &amp; ", R13, " &amp; ", S13, " &amp; ",  ROUND(T13,2), " &amp; ", U13, "\\")</f>
        <v>pard200_2 &amp; nc &amp; 0.7 &amp; 1716 &amp; 24 &amp; 0.53 &amp; 233 &amp; 11 &amp; 7.37 &amp; 184 &amp; 10 &amp; 600.01 &amp; 800\\</v>
      </c>
    </row>
    <row r="14" spans="1:26" x14ac:dyDescent="0.2">
      <c r="A14" t="s">
        <v>20</v>
      </c>
      <c r="B14">
        <v>12</v>
      </c>
      <c r="C14" t="s">
        <v>21</v>
      </c>
      <c r="D14" t="s">
        <v>1</v>
      </c>
      <c r="E14">
        <v>1.3682370185852</v>
      </c>
      <c r="F14">
        <v>1902</v>
      </c>
      <c r="G14">
        <v>136</v>
      </c>
      <c r="I14" t="str">
        <f>CONCATENATE($I$1,"3")</f>
        <v>pard200_3</v>
      </c>
      <c r="J14">
        <v>6</v>
      </c>
      <c r="K14" s="1">
        <f t="shared" si="3"/>
        <v>0.871890068054199</v>
      </c>
      <c r="L14">
        <f t="shared" si="4"/>
        <v>904</v>
      </c>
      <c r="M14">
        <f t="shared" si="5"/>
        <v>158</v>
      </c>
      <c r="N14" s="1">
        <f t="shared" si="6"/>
        <v>0.80638384819030695</v>
      </c>
      <c r="O14">
        <f t="shared" si="7"/>
        <v>740</v>
      </c>
      <c r="P14">
        <f t="shared" si="8"/>
        <v>96</v>
      </c>
      <c r="Q14" s="1">
        <f t="shared" si="9"/>
        <v>6.5492999553680402</v>
      </c>
      <c r="R14">
        <f t="shared" si="10"/>
        <v>413</v>
      </c>
      <c r="S14">
        <f t="shared" si="11"/>
        <v>40</v>
      </c>
      <c r="T14">
        <f t="shared" si="12"/>
        <v>103.714556932449</v>
      </c>
      <c r="U14">
        <f t="shared" si="13"/>
        <v>103</v>
      </c>
      <c r="W14">
        <f t="shared" si="0"/>
        <v>1</v>
      </c>
      <c r="X14">
        <f t="shared" si="1"/>
        <v>1</v>
      </c>
      <c r="Z14" t="str">
        <f>CONCATENATE(I14," &amp; ",J14, " &amp; ", ROUND(K14,2), " &amp; ", L14, " &amp; ", M14, " &amp; ",  ROUND(N14,2), " &amp; ", O14, " &amp; ", P14, " &amp; ", ROUND(Q14,2), " &amp; ", R14, " &amp; ", S14, " &amp; ",  ROUND(T14,2), " &amp; ", U14, "\\")</f>
        <v>pard200_3 &amp; 6 &amp; 0.87 &amp; 904 &amp; 158 &amp; 0.81 &amp; 740 &amp; 96 &amp; 6.55 &amp; 413 &amp; 40 &amp; 103.71 &amp; 103\\</v>
      </c>
    </row>
    <row r="15" spans="1:26" x14ac:dyDescent="0.2">
      <c r="A15" t="s">
        <v>0</v>
      </c>
      <c r="B15" t="s">
        <v>14</v>
      </c>
      <c r="C15" t="s">
        <v>15</v>
      </c>
      <c r="D15" t="s">
        <v>16</v>
      </c>
      <c r="E15" t="s">
        <v>17</v>
      </c>
      <c r="I15" t="str">
        <f t="shared" ref="I15:I18" si="17">CONCATENATE($I$1,"3")</f>
        <v>pard200_3</v>
      </c>
      <c r="J15">
        <v>8</v>
      </c>
      <c r="K15" s="1">
        <f t="shared" si="3"/>
        <v>0.67007708549499501</v>
      </c>
      <c r="L15">
        <f t="shared" si="4"/>
        <v>818</v>
      </c>
      <c r="M15">
        <f t="shared" si="5"/>
        <v>98</v>
      </c>
      <c r="N15" s="1">
        <f t="shared" si="6"/>
        <v>0.81602096557617099</v>
      </c>
      <c r="O15">
        <f t="shared" si="7"/>
        <v>671</v>
      </c>
      <c r="P15">
        <f t="shared" si="8"/>
        <v>84</v>
      </c>
      <c r="Q15" s="1">
        <f t="shared" si="9"/>
        <v>6.5373780727386404</v>
      </c>
      <c r="R15">
        <f t="shared" si="10"/>
        <v>343</v>
      </c>
      <c r="S15">
        <f t="shared" si="11"/>
        <v>40</v>
      </c>
      <c r="T15">
        <f t="shared" si="12"/>
        <v>85.763700962066594</v>
      </c>
      <c r="U15">
        <f t="shared" si="13"/>
        <v>81</v>
      </c>
      <c r="W15">
        <f t="shared" si="0"/>
        <v>1</v>
      </c>
      <c r="X15">
        <f t="shared" si="1"/>
        <v>1</v>
      </c>
      <c r="Z15" t="str">
        <f t="shared" ref="Z15:Z17" si="18">CONCATENATE(I15," &amp; ",J15, " &amp; ", ROUND(K15,2), " &amp; ", L15, " &amp; ", M15, " &amp; ",  ROUND(N15,2), " &amp; ", O15, " &amp; ", P15, " &amp; ", ROUND(Q15,2), " &amp; ", R15, " &amp; ", S15, " &amp; ",  ROUND(T15,2), " &amp; ", U15, "\\")</f>
        <v>pard200_3 &amp; 8 &amp; 0.67 &amp; 818 &amp; 98 &amp; 0.82 &amp; 671 &amp; 84 &amp; 6.54 &amp; 343 &amp; 40 &amp; 85.76 &amp; 81\\</v>
      </c>
    </row>
    <row r="16" spans="1:26" x14ac:dyDescent="0.2">
      <c r="A16" t="s">
        <v>20</v>
      </c>
      <c r="B16">
        <v>12</v>
      </c>
      <c r="C16" t="s">
        <v>22</v>
      </c>
      <c r="D16" t="s">
        <v>23</v>
      </c>
      <c r="E16">
        <v>130.94880914688099</v>
      </c>
      <c r="F16">
        <v>122</v>
      </c>
      <c r="I16" t="str">
        <f t="shared" si="17"/>
        <v>pard200_3</v>
      </c>
      <c r="J16">
        <v>10</v>
      </c>
      <c r="K16" s="1">
        <f t="shared" si="3"/>
        <v>2.4472448825836102</v>
      </c>
      <c r="L16">
        <f t="shared" si="4"/>
        <v>4584</v>
      </c>
      <c r="M16">
        <f t="shared" si="5"/>
        <v>189</v>
      </c>
      <c r="N16" s="1">
        <f t="shared" si="6"/>
        <v>1.4487888813018699</v>
      </c>
      <c r="O16">
        <f t="shared" si="7"/>
        <v>1444</v>
      </c>
      <c r="P16">
        <f t="shared" si="8"/>
        <v>90</v>
      </c>
      <c r="Q16" s="1">
        <f t="shared" si="9"/>
        <v>8.2780201435089094</v>
      </c>
      <c r="R16">
        <f t="shared" si="10"/>
        <v>840</v>
      </c>
      <c r="S16">
        <f t="shared" si="11"/>
        <v>42</v>
      </c>
      <c r="T16">
        <f t="shared" si="12"/>
        <v>210.902570009231</v>
      </c>
      <c r="U16">
        <f t="shared" si="13"/>
        <v>215</v>
      </c>
      <c r="W16">
        <f t="shared" si="0"/>
        <v>1</v>
      </c>
      <c r="X16">
        <f t="shared" si="1"/>
        <v>1</v>
      </c>
      <c r="Z16" t="str">
        <f t="shared" si="18"/>
        <v>pard200_3 &amp; 10 &amp; 2.45 &amp; 4584 &amp; 189 &amp; 1.45 &amp; 1444 &amp; 90 &amp; 8.28 &amp; 840 &amp; 42 &amp; 210.9 &amp; 215\\</v>
      </c>
    </row>
    <row r="17" spans="1:26" x14ac:dyDescent="0.2">
      <c r="A17" t="s">
        <v>0</v>
      </c>
      <c r="B17" t="s">
        <v>14</v>
      </c>
      <c r="C17" t="s">
        <v>15</v>
      </c>
      <c r="D17" t="s">
        <v>16</v>
      </c>
      <c r="E17" t="s">
        <v>17</v>
      </c>
      <c r="F17" t="s">
        <v>18</v>
      </c>
      <c r="G17" t="s">
        <v>19</v>
      </c>
      <c r="I17" t="str">
        <f t="shared" si="17"/>
        <v>pard200_3</v>
      </c>
      <c r="J17">
        <v>12</v>
      </c>
      <c r="K17" s="1">
        <f t="shared" si="3"/>
        <v>1.70713114738464</v>
      </c>
      <c r="L17">
        <f t="shared" si="4"/>
        <v>3034</v>
      </c>
      <c r="M17">
        <f t="shared" si="5"/>
        <v>42</v>
      </c>
      <c r="N17" s="1">
        <f t="shared" si="6"/>
        <v>0.78216505050659102</v>
      </c>
      <c r="O17">
        <f t="shared" si="7"/>
        <v>923</v>
      </c>
      <c r="P17">
        <f t="shared" si="8"/>
        <v>23</v>
      </c>
      <c r="Q17" s="1">
        <f t="shared" si="9"/>
        <v>7.7451989650726301</v>
      </c>
      <c r="R17">
        <f t="shared" si="10"/>
        <v>461</v>
      </c>
      <c r="S17">
        <f t="shared" si="11"/>
        <v>9</v>
      </c>
      <c r="T17">
        <f t="shared" si="12"/>
        <v>600.00241804122902</v>
      </c>
      <c r="U17">
        <f t="shared" si="13"/>
        <v>648</v>
      </c>
      <c r="W17">
        <f t="shared" si="0"/>
        <v>1</v>
      </c>
      <c r="X17">
        <f t="shared" si="1"/>
        <v>1</v>
      </c>
      <c r="Z17" t="str">
        <f t="shared" si="18"/>
        <v>pard200_3 &amp; 12 &amp; 1.71 &amp; 3034 &amp; 42 &amp; 0.78 &amp; 923 &amp; 23 &amp; 7.75 &amp; 461 &amp; 9 &amp; 600 &amp; 648\\</v>
      </c>
    </row>
    <row r="18" spans="1:26" x14ac:dyDescent="0.2">
      <c r="A18" t="s">
        <v>20</v>
      </c>
      <c r="B18">
        <v>200</v>
      </c>
      <c r="C18" t="s">
        <v>21</v>
      </c>
      <c r="D18" t="s">
        <v>1</v>
      </c>
      <c r="E18">
        <v>1.6610810756683301</v>
      </c>
      <c r="F18">
        <v>3026</v>
      </c>
      <c r="G18">
        <v>123</v>
      </c>
      <c r="I18" t="str">
        <f t="shared" si="17"/>
        <v>pard200_3</v>
      </c>
      <c r="J18">
        <v>200</v>
      </c>
      <c r="K18" s="1">
        <f t="shared" si="3"/>
        <v>1.2097580432891799</v>
      </c>
      <c r="L18">
        <f t="shared" si="4"/>
        <v>2803</v>
      </c>
      <c r="M18">
        <f t="shared" si="5"/>
        <v>38</v>
      </c>
      <c r="N18" s="1">
        <f t="shared" si="6"/>
        <v>0.65079212188720703</v>
      </c>
      <c r="O18">
        <f t="shared" si="7"/>
        <v>781</v>
      </c>
      <c r="P18">
        <f t="shared" si="8"/>
        <v>21</v>
      </c>
      <c r="Q18" s="1">
        <f t="shared" si="9"/>
        <v>8.6759729385375906</v>
      </c>
      <c r="R18">
        <f t="shared" si="10"/>
        <v>416</v>
      </c>
      <c r="S18">
        <f t="shared" si="11"/>
        <v>9</v>
      </c>
      <c r="T18">
        <f t="shared" si="12"/>
        <v>600.00581693649201</v>
      </c>
      <c r="U18">
        <f t="shared" si="13"/>
        <v>688</v>
      </c>
      <c r="W18">
        <f t="shared" si="0"/>
        <v>1</v>
      </c>
      <c r="X18">
        <f t="shared" si="1"/>
        <v>1</v>
      </c>
      <c r="Z18" t="str">
        <f>CONCATENATE(I18," &amp; ","nc", " &amp; ", ROUND(K18,2), " &amp; ", L18, " &amp; ", M18, " &amp; ",  ROUND(N18,2), " &amp; ", O18, " &amp; ", P18, " &amp; ", ROUND(Q18,2), " &amp; ", R18, " &amp; ", S18, " &amp; ",  ROUND(T18,2), " &amp; ", U18, "\\")</f>
        <v>pard200_3 &amp; nc &amp; 1.21 &amp; 2803 &amp; 38 &amp; 0.65 &amp; 781 &amp; 21 &amp; 8.68 &amp; 416 &amp; 9 &amp; 600.01 &amp; 688\\</v>
      </c>
    </row>
    <row r="19" spans="1:26" x14ac:dyDescent="0.2">
      <c r="A19" t="s">
        <v>0</v>
      </c>
      <c r="B19" t="s">
        <v>14</v>
      </c>
      <c r="C19" t="s">
        <v>15</v>
      </c>
      <c r="D19" t="s">
        <v>16</v>
      </c>
      <c r="E19" t="s">
        <v>17</v>
      </c>
      <c r="I19" t="str">
        <f>CONCATENATE($I$1,"4")</f>
        <v>pard200_4</v>
      </c>
      <c r="J19">
        <v>6</v>
      </c>
      <c r="K19" s="1">
        <f t="shared" si="3"/>
        <v>1.53483390808105</v>
      </c>
      <c r="L19">
        <f t="shared" si="4"/>
        <v>2096</v>
      </c>
      <c r="M19">
        <f t="shared" si="5"/>
        <v>262</v>
      </c>
      <c r="N19" s="1">
        <f t="shared" si="6"/>
        <v>2.3140699863433798</v>
      </c>
      <c r="O19">
        <f t="shared" si="7"/>
        <v>1740</v>
      </c>
      <c r="P19">
        <f t="shared" si="8"/>
        <v>227</v>
      </c>
      <c r="Q19" s="1">
        <f t="shared" si="9"/>
        <v>8.34153008460998</v>
      </c>
      <c r="R19">
        <f t="shared" si="10"/>
        <v>1529</v>
      </c>
      <c r="S19">
        <f t="shared" si="11"/>
        <v>193</v>
      </c>
      <c r="T19">
        <f t="shared" si="12"/>
        <v>230.28592777252101</v>
      </c>
      <c r="U19">
        <f t="shared" si="13"/>
        <v>248</v>
      </c>
      <c r="W19">
        <f t="shared" si="0"/>
        <v>1</v>
      </c>
      <c r="X19">
        <f t="shared" si="1"/>
        <v>1</v>
      </c>
      <c r="Z19" t="str">
        <f>CONCATENATE(I19," &amp; ",J19, " &amp; ", ROUND(K19,2), " &amp; ", L19, " &amp; ", M19, " &amp; ",  ROUND(N19,2), " &amp; ", O19, " &amp; ", P19, " &amp; ", ROUND(Q19,2), " &amp; ", R19, " &amp; ", S19, " &amp; ",  ROUND(T19,2), " &amp; ", U19, "\\")</f>
        <v>pard200_4 &amp; 6 &amp; 1.53 &amp; 2096 &amp; 262 &amp; 2.31 &amp; 1740 &amp; 227 &amp; 8.34 &amp; 1529 &amp; 193 &amp; 230.29 &amp; 248\\</v>
      </c>
    </row>
    <row r="20" spans="1:26" x14ac:dyDescent="0.2">
      <c r="A20" t="s">
        <v>20</v>
      </c>
      <c r="B20">
        <v>200</v>
      </c>
      <c r="C20" t="s">
        <v>22</v>
      </c>
      <c r="D20" t="s">
        <v>23</v>
      </c>
      <c r="E20">
        <v>600.00327110290505</v>
      </c>
      <c r="F20">
        <v>624</v>
      </c>
      <c r="I20" t="str">
        <f t="shared" ref="I20:I23" si="19">CONCATENATE($I$1,"4")</f>
        <v>pard200_4</v>
      </c>
      <c r="J20">
        <v>8</v>
      </c>
      <c r="K20" s="1">
        <f t="shared" si="3"/>
        <v>2.72827696800231</v>
      </c>
      <c r="L20">
        <f t="shared" si="4"/>
        <v>3820</v>
      </c>
      <c r="M20">
        <f t="shared" si="5"/>
        <v>343</v>
      </c>
      <c r="N20" s="1">
        <f t="shared" si="6"/>
        <v>2.8183639049529998</v>
      </c>
      <c r="O20">
        <f t="shared" si="7"/>
        <v>3055</v>
      </c>
      <c r="P20">
        <f t="shared" si="8"/>
        <v>260</v>
      </c>
      <c r="Q20" s="1">
        <f t="shared" si="9"/>
        <v>9.4998919963836599</v>
      </c>
      <c r="R20">
        <f t="shared" si="10"/>
        <v>1740</v>
      </c>
      <c r="S20">
        <f t="shared" si="11"/>
        <v>139</v>
      </c>
      <c r="T20">
        <f t="shared" si="12"/>
        <v>176.101867914199</v>
      </c>
      <c r="U20">
        <f t="shared" si="13"/>
        <v>194</v>
      </c>
      <c r="W20">
        <f t="shared" si="0"/>
        <v>1</v>
      </c>
      <c r="X20">
        <f t="shared" si="1"/>
        <v>1</v>
      </c>
      <c r="Z20" t="str">
        <f t="shared" ref="Z20:Z22" si="20">CONCATENATE(I20," &amp; ",J20, " &amp; ", ROUND(K20,2), " &amp; ", L20, " &amp; ", M20, " &amp; ",  ROUND(N20,2), " &amp; ", O20, " &amp; ", P20, " &amp; ", ROUND(Q20,2), " &amp; ", R20, " &amp; ", S20, " &amp; ",  ROUND(T20,2), " &amp; ", U20, "\\")</f>
        <v>pard200_4 &amp; 8 &amp; 2.73 &amp; 3820 &amp; 343 &amp; 2.82 &amp; 3055 &amp; 260 &amp; 9.5 &amp; 1740 &amp; 139 &amp; 176.1 &amp; 194\\</v>
      </c>
    </row>
    <row r="21" spans="1:26" x14ac:dyDescent="0.2">
      <c r="A21" t="s">
        <v>0</v>
      </c>
      <c r="B21" t="s">
        <v>14</v>
      </c>
      <c r="C21" t="s">
        <v>15</v>
      </c>
      <c r="D21" t="s">
        <v>16</v>
      </c>
      <c r="E21" t="s">
        <v>17</v>
      </c>
      <c r="F21" t="s">
        <v>18</v>
      </c>
      <c r="G21" t="s">
        <v>19</v>
      </c>
      <c r="I21" t="str">
        <f t="shared" si="19"/>
        <v>pard200_4</v>
      </c>
      <c r="J21">
        <v>10</v>
      </c>
      <c r="K21" s="1">
        <f t="shared" si="3"/>
        <v>10.8328380584716</v>
      </c>
      <c r="L21">
        <f t="shared" si="4"/>
        <v>14206</v>
      </c>
      <c r="M21">
        <f t="shared" si="5"/>
        <v>647</v>
      </c>
      <c r="N21" s="1">
        <f t="shared" si="6"/>
        <v>10.8203389644622</v>
      </c>
      <c r="O21">
        <f t="shared" si="7"/>
        <v>11378</v>
      </c>
      <c r="P21">
        <f t="shared" si="8"/>
        <v>522</v>
      </c>
      <c r="Q21" s="1">
        <f t="shared" si="9"/>
        <v>17.9027001857757</v>
      </c>
      <c r="R21">
        <f t="shared" si="10"/>
        <v>7912</v>
      </c>
      <c r="S21">
        <f t="shared" si="11"/>
        <v>446</v>
      </c>
      <c r="T21">
        <f t="shared" si="12"/>
        <v>527.46002602577198</v>
      </c>
      <c r="U21">
        <f t="shared" si="13"/>
        <v>617</v>
      </c>
      <c r="W21">
        <f t="shared" si="0"/>
        <v>1</v>
      </c>
      <c r="X21">
        <f t="shared" si="1"/>
        <v>1</v>
      </c>
      <c r="Z21" t="str">
        <f t="shared" si="20"/>
        <v>pard200_4 &amp; 10 &amp; 10.83 &amp; 14206 &amp; 647 &amp; 10.82 &amp; 11378 &amp; 522 &amp; 17.9 &amp; 7912 &amp; 446 &amp; 527.46 &amp; 617\\</v>
      </c>
    </row>
    <row r="22" spans="1:26" x14ac:dyDescent="0.2">
      <c r="A22" t="s">
        <v>25</v>
      </c>
      <c r="B22">
        <v>6</v>
      </c>
      <c r="C22" t="s">
        <v>21</v>
      </c>
      <c r="D22" t="s">
        <v>1</v>
      </c>
      <c r="E22">
        <v>0.13274407386779699</v>
      </c>
      <c r="F22">
        <v>141</v>
      </c>
      <c r="G22">
        <v>24</v>
      </c>
      <c r="I22" t="str">
        <f t="shared" si="19"/>
        <v>pard200_4</v>
      </c>
      <c r="J22">
        <v>12</v>
      </c>
      <c r="K22" s="1">
        <f t="shared" si="3"/>
        <v>0.97715997695922796</v>
      </c>
      <c r="L22">
        <f t="shared" si="4"/>
        <v>2332</v>
      </c>
      <c r="M22">
        <f t="shared" si="5"/>
        <v>22</v>
      </c>
      <c r="N22" s="1">
        <f t="shared" si="6"/>
        <v>0.31934094429016102</v>
      </c>
      <c r="O22">
        <f t="shared" si="7"/>
        <v>272</v>
      </c>
      <c r="P22">
        <f t="shared" si="8"/>
        <v>12</v>
      </c>
      <c r="Q22" s="1">
        <f t="shared" si="9"/>
        <v>7.8303449153900102</v>
      </c>
      <c r="R22">
        <f t="shared" si="10"/>
        <v>226</v>
      </c>
      <c r="S22">
        <f t="shared" si="11"/>
        <v>11</v>
      </c>
      <c r="T22">
        <f t="shared" si="12"/>
        <v>581.35035705566395</v>
      </c>
      <c r="U22">
        <f t="shared" si="13"/>
        <v>643</v>
      </c>
      <c r="W22">
        <f t="shared" si="0"/>
        <v>1</v>
      </c>
      <c r="X22">
        <f t="shared" si="1"/>
        <v>1</v>
      </c>
      <c r="Z22" t="str">
        <f t="shared" si="20"/>
        <v>pard200_4 &amp; 12 &amp; 0.98 &amp; 2332 &amp; 22 &amp; 0.32 &amp; 272 &amp; 12 &amp; 7.83 &amp; 226 &amp; 11 &amp; 581.35 &amp; 643\\</v>
      </c>
    </row>
    <row r="23" spans="1:26" x14ac:dyDescent="0.2">
      <c r="A23" t="s">
        <v>0</v>
      </c>
      <c r="B23" t="s">
        <v>14</v>
      </c>
      <c r="C23" t="s">
        <v>15</v>
      </c>
      <c r="D23" t="s">
        <v>16</v>
      </c>
      <c r="E23" t="s">
        <v>17</v>
      </c>
      <c r="I23" t="str">
        <f t="shared" si="19"/>
        <v>pard200_4</v>
      </c>
      <c r="J23">
        <v>200</v>
      </c>
      <c r="K23" s="1">
        <f t="shared" si="3"/>
        <v>0.85931992530822698</v>
      </c>
      <c r="L23">
        <f t="shared" si="4"/>
        <v>2315</v>
      </c>
      <c r="M23">
        <f t="shared" si="5"/>
        <v>22</v>
      </c>
      <c r="N23" s="1">
        <f t="shared" si="6"/>
        <v>0.39427781105041498</v>
      </c>
      <c r="O23">
        <f t="shared" si="7"/>
        <v>251</v>
      </c>
      <c r="P23">
        <f t="shared" si="8"/>
        <v>12</v>
      </c>
      <c r="Q23" s="1">
        <f t="shared" si="9"/>
        <v>7.6517050266265798</v>
      </c>
      <c r="R23">
        <f t="shared" si="10"/>
        <v>206</v>
      </c>
      <c r="S23">
        <f t="shared" si="11"/>
        <v>11</v>
      </c>
      <c r="T23">
        <f t="shared" si="12"/>
        <v>592.70749092102005</v>
      </c>
      <c r="U23">
        <f t="shared" si="13"/>
        <v>648</v>
      </c>
      <c r="W23">
        <f t="shared" si="0"/>
        <v>1</v>
      </c>
      <c r="X23">
        <f t="shared" si="1"/>
        <v>1</v>
      </c>
      <c r="Z23" t="str">
        <f>CONCATENATE(I23," &amp; ","nc", " &amp; ", ROUND(K23,2), " &amp; ", L23, " &amp; ", M23, " &amp; ",  ROUND(N23,2), " &amp; ", O23, " &amp; ", P23, " &amp; ", ROUND(Q23,2), " &amp; ", R23, " &amp; ", S23, " &amp; ",  ROUND(T23,2), " &amp; ", U23, "\\")</f>
        <v>pard200_4 &amp; nc &amp; 0.86 &amp; 2315 &amp; 22 &amp; 0.39 &amp; 251 &amp; 12 &amp; 7.65 &amp; 206 &amp; 11 &amp; 592.71 &amp; 648\\</v>
      </c>
    </row>
    <row r="24" spans="1:26" x14ac:dyDescent="0.2">
      <c r="A24" t="s">
        <v>25</v>
      </c>
      <c r="B24">
        <v>6</v>
      </c>
      <c r="C24" t="s">
        <v>22</v>
      </c>
      <c r="D24" t="s">
        <v>23</v>
      </c>
      <c r="E24">
        <v>33.261487007141099</v>
      </c>
      <c r="F24">
        <v>37</v>
      </c>
      <c r="I24" t="str">
        <f>CONCATENATE($I$1,"5")</f>
        <v>pard200_5</v>
      </c>
      <c r="J24">
        <v>6</v>
      </c>
      <c r="K24" s="1">
        <f t="shared" si="3"/>
        <v>0.443790912628173</v>
      </c>
      <c r="L24">
        <f t="shared" si="4"/>
        <v>225</v>
      </c>
      <c r="M24">
        <f t="shared" si="5"/>
        <v>79</v>
      </c>
      <c r="N24" s="1">
        <f t="shared" si="6"/>
        <v>0.40539717674255299</v>
      </c>
      <c r="O24">
        <f t="shared" si="7"/>
        <v>147</v>
      </c>
      <c r="P24">
        <f t="shared" si="8"/>
        <v>49</v>
      </c>
      <c r="Q24" s="1">
        <f t="shared" si="9"/>
        <v>5.05629205703735</v>
      </c>
      <c r="R24">
        <f t="shared" si="10"/>
        <v>69</v>
      </c>
      <c r="S24">
        <f t="shared" si="11"/>
        <v>15</v>
      </c>
      <c r="T24">
        <f t="shared" si="12"/>
        <v>33.597038030624297</v>
      </c>
      <c r="U24">
        <f t="shared" si="13"/>
        <v>31</v>
      </c>
      <c r="W24">
        <f t="shared" si="0"/>
        <v>1</v>
      </c>
      <c r="X24">
        <f t="shared" si="1"/>
        <v>1</v>
      </c>
      <c r="Z24" t="str">
        <f>CONCATENATE(I24," &amp; ",J24, " &amp; ", ROUND(K24,2), " &amp; ", L24, " &amp; ", M24, " &amp; ",  ROUND(N24,2), " &amp; ", O24, " &amp; ", P24, " &amp; ", ROUND(Q24,2), " &amp; ", R24, " &amp; ", S24, " &amp; ",  ROUND(T24,2), " &amp; ", U24, "\\")</f>
        <v>pard200_5 &amp; 6 &amp; 0.44 &amp; 225 &amp; 79 &amp; 0.41 &amp; 147 &amp; 49 &amp; 5.06 &amp; 69 &amp; 15 &amp; 33.6 &amp; 31\\</v>
      </c>
    </row>
    <row r="25" spans="1:26" x14ac:dyDescent="0.2">
      <c r="A25" t="s">
        <v>0</v>
      </c>
      <c r="B25" t="s">
        <v>14</v>
      </c>
      <c r="C25" t="s">
        <v>15</v>
      </c>
      <c r="D25" t="s">
        <v>16</v>
      </c>
      <c r="E25" t="s">
        <v>17</v>
      </c>
      <c r="F25" t="s">
        <v>18</v>
      </c>
      <c r="G25" t="s">
        <v>19</v>
      </c>
      <c r="I25" t="str">
        <f t="shared" ref="I25:I28" si="21">CONCATENATE($I$1,"5")</f>
        <v>pard200_5</v>
      </c>
      <c r="J25">
        <v>8</v>
      </c>
      <c r="K25" s="1">
        <f t="shared" si="3"/>
        <v>0.65667891502380304</v>
      </c>
      <c r="L25">
        <f t="shared" si="4"/>
        <v>407</v>
      </c>
      <c r="M25">
        <f t="shared" si="5"/>
        <v>112</v>
      </c>
      <c r="N25" s="1">
        <f t="shared" si="6"/>
        <v>0.53040289878845204</v>
      </c>
      <c r="O25">
        <f t="shared" si="7"/>
        <v>253</v>
      </c>
      <c r="P25">
        <f t="shared" si="8"/>
        <v>65</v>
      </c>
      <c r="Q25" s="1">
        <f t="shared" si="9"/>
        <v>5.7133150100707999</v>
      </c>
      <c r="R25">
        <f t="shared" si="10"/>
        <v>93</v>
      </c>
      <c r="S25">
        <f t="shared" si="11"/>
        <v>16</v>
      </c>
      <c r="T25">
        <f t="shared" si="12"/>
        <v>35.999599933624197</v>
      </c>
      <c r="U25">
        <f t="shared" si="13"/>
        <v>34</v>
      </c>
      <c r="W25">
        <f t="shared" si="0"/>
        <v>1</v>
      </c>
      <c r="X25">
        <f t="shared" si="1"/>
        <v>1</v>
      </c>
      <c r="Z25" t="str">
        <f t="shared" ref="Z25:Z27" si="22">CONCATENATE(I25," &amp; ",J25, " &amp; ", ROUND(K25,2), " &amp; ", L25, " &amp; ", M25, " &amp; ",  ROUND(N25,2), " &amp; ", O25, " &amp; ", P25, " &amp; ", ROUND(Q25,2), " &amp; ", R25, " &amp; ", S25, " &amp; ",  ROUND(T25,2), " &amp; ", U25, "\\")</f>
        <v>pard200_5 &amp; 8 &amp; 0.66 &amp; 407 &amp; 112 &amp; 0.53 &amp; 253 &amp; 65 &amp; 5.71 &amp; 93 &amp; 16 &amp; 36 &amp; 34\\</v>
      </c>
    </row>
    <row r="26" spans="1:26" x14ac:dyDescent="0.2">
      <c r="A26" t="s">
        <v>25</v>
      </c>
      <c r="B26">
        <v>8</v>
      </c>
      <c r="C26" t="s">
        <v>21</v>
      </c>
      <c r="D26" t="s">
        <v>1</v>
      </c>
      <c r="E26">
        <v>0.35944104194641102</v>
      </c>
      <c r="F26">
        <v>327</v>
      </c>
      <c r="G26">
        <v>59</v>
      </c>
      <c r="I26" t="str">
        <f t="shared" si="21"/>
        <v>pard200_5</v>
      </c>
      <c r="J26">
        <v>10</v>
      </c>
      <c r="K26" s="1">
        <f t="shared" si="3"/>
        <v>2.8587749004364</v>
      </c>
      <c r="L26">
        <f t="shared" si="4"/>
        <v>3577</v>
      </c>
      <c r="M26">
        <f t="shared" si="5"/>
        <v>322</v>
      </c>
      <c r="N26" s="1">
        <f t="shared" si="6"/>
        <v>1.7615201473236</v>
      </c>
      <c r="O26">
        <f t="shared" si="7"/>
        <v>1644</v>
      </c>
      <c r="P26">
        <f t="shared" si="8"/>
        <v>149</v>
      </c>
      <c r="Q26" s="1">
        <f t="shared" si="9"/>
        <v>7.6228680610656703</v>
      </c>
      <c r="R26">
        <f t="shared" si="10"/>
        <v>453</v>
      </c>
      <c r="S26">
        <f t="shared" si="11"/>
        <v>48</v>
      </c>
      <c r="T26">
        <f t="shared" si="12"/>
        <v>84.975279092788696</v>
      </c>
      <c r="U26">
        <f t="shared" si="13"/>
        <v>79</v>
      </c>
      <c r="W26">
        <f t="shared" si="0"/>
        <v>1</v>
      </c>
      <c r="X26">
        <f t="shared" si="1"/>
        <v>1</v>
      </c>
      <c r="Z26" t="str">
        <f t="shared" si="22"/>
        <v>pard200_5 &amp; 10 &amp; 2.86 &amp; 3577 &amp; 322 &amp; 1.76 &amp; 1644 &amp; 149 &amp; 7.62 &amp; 453 &amp; 48 &amp; 84.98 &amp; 79\\</v>
      </c>
    </row>
    <row r="27" spans="1:26" x14ac:dyDescent="0.2">
      <c r="A27" t="s">
        <v>0</v>
      </c>
      <c r="B27" t="s">
        <v>14</v>
      </c>
      <c r="C27" t="s">
        <v>15</v>
      </c>
      <c r="D27" t="s">
        <v>16</v>
      </c>
      <c r="E27" t="s">
        <v>17</v>
      </c>
      <c r="I27" t="str">
        <f t="shared" si="21"/>
        <v>pard200_5</v>
      </c>
      <c r="J27">
        <v>12</v>
      </c>
      <c r="K27" s="1">
        <f t="shared" si="3"/>
        <v>135.86886215209901</v>
      </c>
      <c r="L27">
        <f t="shared" si="4"/>
        <v>171475</v>
      </c>
      <c r="M27">
        <f t="shared" si="5"/>
        <v>722</v>
      </c>
      <c r="N27" s="1">
        <f t="shared" si="6"/>
        <v>12.1250150203704</v>
      </c>
      <c r="O27">
        <f t="shared" si="7"/>
        <v>10701</v>
      </c>
      <c r="P27">
        <f t="shared" si="8"/>
        <v>294</v>
      </c>
      <c r="Q27" s="1">
        <f t="shared" si="9"/>
        <v>18.449170827865601</v>
      </c>
      <c r="R27">
        <f t="shared" si="10"/>
        <v>6098</v>
      </c>
      <c r="S27">
        <f t="shared" si="11"/>
        <v>171</v>
      </c>
      <c r="T27">
        <f t="shared" si="12"/>
        <v>600.00413417816105</v>
      </c>
      <c r="U27">
        <f t="shared" si="13"/>
        <v>686</v>
      </c>
      <c r="W27">
        <f t="shared" si="0"/>
        <v>1</v>
      </c>
      <c r="X27">
        <f t="shared" si="1"/>
        <v>1</v>
      </c>
      <c r="Z27" t="str">
        <f t="shared" si="22"/>
        <v>pard200_5 &amp; 12 &amp; 135.87 &amp; 171475 &amp; 722 &amp; 12.13 &amp; 10701 &amp; 294 &amp; 18.45 &amp; 6098 &amp; 171 &amp; 600 &amp; 686\\</v>
      </c>
    </row>
    <row r="28" spans="1:26" x14ac:dyDescent="0.2">
      <c r="A28" t="s">
        <v>25</v>
      </c>
      <c r="B28">
        <v>8</v>
      </c>
      <c r="C28" t="s">
        <v>22</v>
      </c>
      <c r="D28" t="s">
        <v>23</v>
      </c>
      <c r="E28">
        <v>35.901252985000603</v>
      </c>
      <c r="F28">
        <v>29</v>
      </c>
      <c r="I28" t="str">
        <f t="shared" si="21"/>
        <v>pard200_5</v>
      </c>
      <c r="J28">
        <v>200</v>
      </c>
      <c r="K28" s="1">
        <f t="shared" si="3"/>
        <v>120.410324811935</v>
      </c>
      <c r="L28">
        <f t="shared" si="4"/>
        <v>131127</v>
      </c>
      <c r="M28">
        <f t="shared" si="5"/>
        <v>777</v>
      </c>
      <c r="N28" s="1">
        <f t="shared" si="6"/>
        <v>15.1571581363677</v>
      </c>
      <c r="O28">
        <f t="shared" si="7"/>
        <v>11960</v>
      </c>
      <c r="P28">
        <f t="shared" si="8"/>
        <v>285</v>
      </c>
      <c r="Q28" s="1">
        <f t="shared" si="9"/>
        <v>17.064465045928898</v>
      </c>
      <c r="R28">
        <f t="shared" si="10"/>
        <v>5866</v>
      </c>
      <c r="S28">
        <f t="shared" si="11"/>
        <v>142</v>
      </c>
      <c r="T28">
        <f t="shared" si="12"/>
        <v>600.00421786308198</v>
      </c>
      <c r="U28">
        <f t="shared" si="13"/>
        <v>818</v>
      </c>
      <c r="W28">
        <f t="shared" si="0"/>
        <v>1</v>
      </c>
      <c r="X28">
        <f t="shared" si="1"/>
        <v>1</v>
      </c>
      <c r="Z28" t="str">
        <f>CONCATENATE(I28," &amp; ","nc", " &amp; ", ROUND(K28,2), " &amp; ", L28, " &amp; ", M28, " &amp; ",  ROUND(N28,2), " &amp; ", O28, " &amp; ", P28, " &amp; ", ROUND(Q28,2), " &amp; ", R28, " &amp; ", S28, " &amp; ",  ROUND(T28,2), " &amp; ", U28, "\\")</f>
        <v>pard200_5 &amp; nc &amp; 120.41 &amp; 131127 &amp; 777 &amp; 15.16 &amp; 11960 &amp; 285 &amp; 17.06 &amp; 5866 &amp; 142 &amp; 600 &amp; 818\\</v>
      </c>
    </row>
    <row r="29" spans="1:26" x14ac:dyDescent="0.2">
      <c r="A29" t="s">
        <v>0</v>
      </c>
      <c r="B29" t="s">
        <v>14</v>
      </c>
      <c r="C29" t="s">
        <v>15</v>
      </c>
      <c r="D29" t="s">
        <v>16</v>
      </c>
      <c r="E29" t="s">
        <v>17</v>
      </c>
      <c r="F29" t="s">
        <v>18</v>
      </c>
      <c r="G29" t="s">
        <v>19</v>
      </c>
      <c r="I29" t="str">
        <f>CONCATENATE($I$1,"6")</f>
        <v>pard200_6</v>
      </c>
      <c r="J29">
        <v>6</v>
      </c>
      <c r="K29" s="1">
        <f t="shared" si="3"/>
        <v>7.1514599323272696</v>
      </c>
      <c r="L29">
        <f t="shared" si="4"/>
        <v>4635</v>
      </c>
      <c r="M29">
        <f t="shared" si="5"/>
        <v>933</v>
      </c>
      <c r="N29" s="1">
        <f t="shared" si="6"/>
        <v>7.4372878074645996</v>
      </c>
      <c r="O29">
        <f t="shared" si="7"/>
        <v>5148</v>
      </c>
      <c r="P29">
        <f t="shared" si="8"/>
        <v>902</v>
      </c>
      <c r="Q29" s="1">
        <f t="shared" si="9"/>
        <v>16.099563837051299</v>
      </c>
      <c r="R29">
        <f t="shared" si="10"/>
        <v>4875</v>
      </c>
      <c r="S29">
        <f t="shared" si="11"/>
        <v>675</v>
      </c>
      <c r="T29">
        <f t="shared" si="12"/>
        <v>172.223497867584</v>
      </c>
      <c r="U29">
        <f t="shared" si="13"/>
        <v>199</v>
      </c>
      <c r="W29">
        <f t="shared" si="0"/>
        <v>1</v>
      </c>
      <c r="X29">
        <f t="shared" si="1"/>
        <v>1</v>
      </c>
      <c r="Z29" t="str">
        <f>CONCATENATE(I29," &amp; ",J29, " &amp; ", ROUND(K29,2), " &amp; ", L29, " &amp; ", M29, " &amp; ",  ROUND(N29,2), " &amp; ", O29, " &amp; ", P29, " &amp; ", ROUND(Q29,2), " &amp; ", R29, " &amp; ", S29, " &amp; ",  ROUND(T29,2), " &amp; ", U29, "\\")</f>
        <v>pard200_6 &amp; 6 &amp; 7.15 &amp; 4635 &amp; 933 &amp; 7.44 &amp; 5148 &amp; 902 &amp; 16.1 &amp; 4875 &amp; 675 &amp; 172.22 &amp; 199\\</v>
      </c>
    </row>
    <row r="30" spans="1:26" x14ac:dyDescent="0.2">
      <c r="A30" t="s">
        <v>25</v>
      </c>
      <c r="B30">
        <v>10</v>
      </c>
      <c r="C30" t="s">
        <v>21</v>
      </c>
      <c r="D30" t="s">
        <v>1</v>
      </c>
      <c r="E30">
        <v>4.18753790855407</v>
      </c>
      <c r="F30">
        <v>6313</v>
      </c>
      <c r="G30">
        <v>317</v>
      </c>
      <c r="I30" t="str">
        <f t="shared" ref="I30:I33" si="23">CONCATENATE($I$1,"6")</f>
        <v>pard200_6</v>
      </c>
      <c r="J30">
        <v>8</v>
      </c>
      <c r="K30" s="1">
        <f t="shared" si="3"/>
        <v>6.0521061420440603</v>
      </c>
      <c r="L30">
        <f t="shared" si="4"/>
        <v>5985</v>
      </c>
      <c r="M30">
        <f t="shared" si="5"/>
        <v>777</v>
      </c>
      <c r="N30" s="1">
        <f t="shared" si="6"/>
        <v>8.3778698444366402</v>
      </c>
      <c r="O30">
        <f t="shared" si="7"/>
        <v>5885</v>
      </c>
      <c r="P30">
        <f t="shared" si="8"/>
        <v>733</v>
      </c>
      <c r="Q30" s="1">
        <f t="shared" si="9"/>
        <v>12.2534940242767</v>
      </c>
      <c r="R30">
        <f t="shared" si="10"/>
        <v>4120</v>
      </c>
      <c r="S30">
        <f t="shared" si="11"/>
        <v>349</v>
      </c>
      <c r="T30">
        <f t="shared" si="12"/>
        <v>112.630229949951</v>
      </c>
      <c r="U30">
        <f t="shared" si="13"/>
        <v>135</v>
      </c>
      <c r="W30">
        <f t="shared" si="0"/>
        <v>1</v>
      </c>
      <c r="X30">
        <f t="shared" si="1"/>
        <v>1</v>
      </c>
      <c r="Z30" t="str">
        <f t="shared" ref="Z30:Z32" si="24">CONCATENATE(I30," &amp; ",J30, " &amp; ", ROUND(K30,2), " &amp; ", L30, " &amp; ", M30, " &amp; ",  ROUND(N30,2), " &amp; ", O30, " &amp; ", P30, " &amp; ", ROUND(Q30,2), " &amp; ", R30, " &amp; ", S30, " &amp; ",  ROUND(T30,2), " &amp; ", U30, "\\")</f>
        <v>pard200_6 &amp; 8 &amp; 6.05 &amp; 5985 &amp; 777 &amp; 8.38 &amp; 5885 &amp; 733 &amp; 12.25 &amp; 4120 &amp; 349 &amp; 112.63 &amp; 135\\</v>
      </c>
    </row>
    <row r="31" spans="1:26" x14ac:dyDescent="0.2">
      <c r="A31" t="s">
        <v>0</v>
      </c>
      <c r="B31" t="s">
        <v>14</v>
      </c>
      <c r="C31" t="s">
        <v>15</v>
      </c>
      <c r="D31" t="s">
        <v>16</v>
      </c>
      <c r="E31" t="s">
        <v>17</v>
      </c>
      <c r="I31" t="str">
        <f t="shared" si="23"/>
        <v>pard200_6</v>
      </c>
      <c r="J31">
        <v>10</v>
      </c>
      <c r="K31" s="1">
        <f t="shared" si="3"/>
        <v>2.6412289142608598</v>
      </c>
      <c r="L31">
        <f t="shared" si="4"/>
        <v>2305</v>
      </c>
      <c r="M31">
        <f t="shared" si="5"/>
        <v>283</v>
      </c>
      <c r="N31" s="1">
        <f t="shared" si="6"/>
        <v>2.0490689277648899</v>
      </c>
      <c r="O31">
        <f t="shared" si="7"/>
        <v>1172</v>
      </c>
      <c r="P31">
        <f t="shared" si="8"/>
        <v>206</v>
      </c>
      <c r="Q31" s="1">
        <f t="shared" si="9"/>
        <v>7.4765841960906902</v>
      </c>
      <c r="R31">
        <f t="shared" si="10"/>
        <v>514</v>
      </c>
      <c r="S31">
        <f t="shared" si="11"/>
        <v>107</v>
      </c>
      <c r="T31">
        <f t="shared" si="12"/>
        <v>82.6140811443328</v>
      </c>
      <c r="U31">
        <f t="shared" si="13"/>
        <v>103</v>
      </c>
      <c r="W31">
        <f t="shared" si="0"/>
        <v>1</v>
      </c>
      <c r="X31">
        <f t="shared" si="1"/>
        <v>1</v>
      </c>
      <c r="Z31" t="str">
        <f t="shared" si="24"/>
        <v>pard200_6 &amp; 10 &amp; 2.64 &amp; 2305 &amp; 283 &amp; 2.05 &amp; 1172 &amp; 206 &amp; 7.48 &amp; 514 &amp; 107 &amp; 82.61 &amp; 103\\</v>
      </c>
    </row>
    <row r="32" spans="1:26" x14ac:dyDescent="0.2">
      <c r="A32" t="s">
        <v>25</v>
      </c>
      <c r="B32">
        <v>10</v>
      </c>
      <c r="C32" t="s">
        <v>22</v>
      </c>
      <c r="D32" t="s">
        <v>23</v>
      </c>
      <c r="E32">
        <v>278.61708498001099</v>
      </c>
      <c r="F32">
        <v>331</v>
      </c>
      <c r="I32" t="str">
        <f t="shared" si="23"/>
        <v>pard200_6</v>
      </c>
      <c r="J32">
        <v>12</v>
      </c>
      <c r="K32" s="1">
        <f t="shared" si="3"/>
        <v>1.0798380374908401</v>
      </c>
      <c r="L32">
        <f t="shared" si="4"/>
        <v>1934</v>
      </c>
      <c r="M32">
        <f t="shared" si="5"/>
        <v>81</v>
      </c>
      <c r="N32" s="1">
        <f t="shared" si="6"/>
        <v>0.54219102859497004</v>
      </c>
      <c r="O32">
        <f t="shared" si="7"/>
        <v>461</v>
      </c>
      <c r="P32">
        <f t="shared" si="8"/>
        <v>37</v>
      </c>
      <c r="Q32" s="1">
        <f t="shared" si="9"/>
        <v>7.1759281158447203</v>
      </c>
      <c r="R32">
        <f t="shared" si="10"/>
        <v>409</v>
      </c>
      <c r="S32">
        <f t="shared" si="11"/>
        <v>23</v>
      </c>
      <c r="T32">
        <f t="shared" si="12"/>
        <v>189.04498696327201</v>
      </c>
      <c r="U32">
        <f t="shared" si="13"/>
        <v>211</v>
      </c>
      <c r="W32">
        <f t="shared" si="0"/>
        <v>1</v>
      </c>
      <c r="X32">
        <f t="shared" si="1"/>
        <v>1</v>
      </c>
      <c r="Z32" t="str">
        <f t="shared" si="24"/>
        <v>pard200_6 &amp; 12 &amp; 1.08 &amp; 1934 &amp; 81 &amp; 0.54 &amp; 461 &amp; 37 &amp; 7.18 &amp; 409 &amp; 23 &amp; 189.04 &amp; 211\\</v>
      </c>
    </row>
    <row r="33" spans="1:26" x14ac:dyDescent="0.2">
      <c r="A33" t="s">
        <v>0</v>
      </c>
      <c r="B33" t="s">
        <v>14</v>
      </c>
      <c r="C33" t="s">
        <v>15</v>
      </c>
      <c r="D33" t="s">
        <v>16</v>
      </c>
      <c r="E33" t="s">
        <v>17</v>
      </c>
      <c r="F33" t="s">
        <v>18</v>
      </c>
      <c r="G33" t="s">
        <v>19</v>
      </c>
      <c r="I33" t="str">
        <f t="shared" si="23"/>
        <v>pard200_6</v>
      </c>
      <c r="J33">
        <v>200</v>
      </c>
      <c r="K33" s="1">
        <f t="shared" si="3"/>
        <v>1.09727787971496</v>
      </c>
      <c r="L33">
        <f t="shared" si="4"/>
        <v>1737</v>
      </c>
      <c r="M33">
        <f t="shared" si="5"/>
        <v>76</v>
      </c>
      <c r="N33" s="1">
        <f t="shared" si="6"/>
        <v>0.73945593833923295</v>
      </c>
      <c r="O33">
        <f t="shared" si="7"/>
        <v>799</v>
      </c>
      <c r="P33">
        <f t="shared" si="8"/>
        <v>48</v>
      </c>
      <c r="Q33" s="1">
        <f t="shared" si="9"/>
        <v>8.2175490856170601</v>
      </c>
      <c r="R33">
        <f t="shared" si="10"/>
        <v>483</v>
      </c>
      <c r="S33">
        <f t="shared" si="11"/>
        <v>32</v>
      </c>
      <c r="T33">
        <f t="shared" si="12"/>
        <v>600.00347280502297</v>
      </c>
      <c r="U33">
        <f t="shared" si="13"/>
        <v>700</v>
      </c>
      <c r="W33">
        <f t="shared" si="0"/>
        <v>1</v>
      </c>
      <c r="X33">
        <f t="shared" si="1"/>
        <v>1</v>
      </c>
      <c r="Z33" t="str">
        <f>CONCATENATE(I33," &amp; ","nc", " &amp; ", ROUND(K33,2), " &amp; ", L33, " &amp; ", M33, " &amp; ",  ROUND(N33,2), " &amp; ", O33, " &amp; ", P33, " &amp; ", ROUND(Q33,2), " &amp; ", R33, " &amp; ", S33, " &amp; ",  ROUND(T33,2), " &amp; ", U33, "\\")</f>
        <v>pard200_6 &amp; nc &amp; 1.1 &amp; 1737 &amp; 76 &amp; 0.74 &amp; 799 &amp; 48 &amp; 8.22 &amp; 483 &amp; 32 &amp; 600 &amp; 700\\</v>
      </c>
    </row>
    <row r="34" spans="1:26" x14ac:dyDescent="0.2">
      <c r="A34" t="s">
        <v>25</v>
      </c>
      <c r="B34">
        <v>12</v>
      </c>
      <c r="C34" t="s">
        <v>21</v>
      </c>
      <c r="D34" t="s">
        <v>1</v>
      </c>
      <c r="E34">
        <v>0.64803504943847601</v>
      </c>
      <c r="F34">
        <v>1953</v>
      </c>
      <c r="G34">
        <v>20</v>
      </c>
      <c r="I34" t="str">
        <f>CONCATENATE($I$1,"7")</f>
        <v>pard200_7</v>
      </c>
      <c r="J34">
        <v>6</v>
      </c>
      <c r="K34" s="1">
        <f t="shared" si="3"/>
        <v>0.63564300537109297</v>
      </c>
      <c r="L34">
        <f t="shared" si="4"/>
        <v>687</v>
      </c>
      <c r="M34">
        <f t="shared" si="5"/>
        <v>122</v>
      </c>
      <c r="N34" s="1">
        <f t="shared" si="6"/>
        <v>0.73510289192199696</v>
      </c>
      <c r="O34">
        <f t="shared" si="7"/>
        <v>602</v>
      </c>
      <c r="P34">
        <f t="shared" si="8"/>
        <v>97</v>
      </c>
      <c r="Q34" s="1">
        <f t="shared" si="9"/>
        <v>6.7701630592346103</v>
      </c>
      <c r="R34">
        <f t="shared" si="10"/>
        <v>291</v>
      </c>
      <c r="S34">
        <f t="shared" si="11"/>
        <v>54</v>
      </c>
      <c r="T34">
        <f t="shared" si="12"/>
        <v>112.655122995376</v>
      </c>
      <c r="U34">
        <f t="shared" si="13"/>
        <v>119</v>
      </c>
      <c r="W34">
        <f t="shared" si="0"/>
        <v>1</v>
      </c>
      <c r="X34">
        <f t="shared" si="1"/>
        <v>1</v>
      </c>
      <c r="Z34" t="str">
        <f>CONCATENATE(I34," &amp; ",J34, " &amp; ", ROUND(K34,2), " &amp; ", L34, " &amp; ", M34, " &amp; ",  ROUND(N34,2), " &amp; ", O34, " &amp; ", P34, " &amp; ", ROUND(Q34,2), " &amp; ", R34, " &amp; ", S34, " &amp; ",  ROUND(T34,2), " &amp; ", U34, "\\")</f>
        <v>pard200_7 &amp; 6 &amp; 0.64 &amp; 687 &amp; 122 &amp; 0.74 &amp; 602 &amp; 97 &amp; 6.77 &amp; 291 &amp; 54 &amp; 112.66 &amp; 119\\</v>
      </c>
    </row>
    <row r="35" spans="1:26" x14ac:dyDescent="0.2">
      <c r="A35" t="s">
        <v>0</v>
      </c>
      <c r="B35" t="s">
        <v>14</v>
      </c>
      <c r="C35" t="s">
        <v>15</v>
      </c>
      <c r="D35" t="s">
        <v>16</v>
      </c>
      <c r="E35" t="s">
        <v>17</v>
      </c>
      <c r="I35" t="str">
        <f t="shared" ref="I35:I38" si="25">CONCATENATE($I$1,"7")</f>
        <v>pard200_7</v>
      </c>
      <c r="J35">
        <v>8</v>
      </c>
      <c r="K35" s="1">
        <f t="shared" si="3"/>
        <v>0.36471605300903298</v>
      </c>
      <c r="L35">
        <f t="shared" si="4"/>
        <v>431</v>
      </c>
      <c r="M35">
        <f t="shared" si="5"/>
        <v>59</v>
      </c>
      <c r="N35" s="1">
        <f t="shared" si="6"/>
        <v>0.32417392730712802</v>
      </c>
      <c r="O35">
        <f t="shared" si="7"/>
        <v>207</v>
      </c>
      <c r="P35">
        <f t="shared" si="8"/>
        <v>31</v>
      </c>
      <c r="Q35" s="1">
        <f t="shared" si="9"/>
        <v>7.1199538707733101</v>
      </c>
      <c r="R35">
        <f t="shared" si="10"/>
        <v>88</v>
      </c>
      <c r="S35">
        <f t="shared" si="11"/>
        <v>16</v>
      </c>
      <c r="T35">
        <f t="shared" si="12"/>
        <v>59.568320989608701</v>
      </c>
      <c r="U35">
        <f t="shared" si="13"/>
        <v>65</v>
      </c>
      <c r="W35">
        <f t="shared" si="0"/>
        <v>1</v>
      </c>
      <c r="X35">
        <f t="shared" si="1"/>
        <v>1</v>
      </c>
      <c r="Z35" t="str">
        <f t="shared" ref="Z35:Z37" si="26">CONCATENATE(I35," &amp; ",J35, " &amp; ", ROUND(K35,2), " &amp; ", L35, " &amp; ", M35, " &amp; ",  ROUND(N35,2), " &amp; ", O35, " &amp; ", P35, " &amp; ", ROUND(Q35,2), " &amp; ", R35, " &amp; ", S35, " &amp; ",  ROUND(T35,2), " &amp; ", U35, "\\")</f>
        <v>pard200_7 &amp; 8 &amp; 0.36 &amp; 431 &amp; 59 &amp; 0.32 &amp; 207 &amp; 31 &amp; 7.12 &amp; 88 &amp; 16 &amp; 59.57 &amp; 65\\</v>
      </c>
    </row>
    <row r="36" spans="1:26" x14ac:dyDescent="0.2">
      <c r="A36" t="s">
        <v>25</v>
      </c>
      <c r="B36">
        <v>12</v>
      </c>
      <c r="C36" t="s">
        <v>22</v>
      </c>
      <c r="D36" t="s">
        <v>23</v>
      </c>
      <c r="E36">
        <v>600.00081491470303</v>
      </c>
      <c r="F36">
        <v>775</v>
      </c>
      <c r="I36" t="str">
        <f t="shared" si="25"/>
        <v>pard200_7</v>
      </c>
      <c r="J36">
        <v>10</v>
      </c>
      <c r="K36" s="1">
        <f t="shared" si="3"/>
        <v>2.2123610973358101</v>
      </c>
      <c r="L36">
        <f t="shared" si="4"/>
        <v>3570</v>
      </c>
      <c r="M36">
        <f t="shared" si="5"/>
        <v>216</v>
      </c>
      <c r="N36" s="1">
        <f t="shared" si="6"/>
        <v>1.15356397628784</v>
      </c>
      <c r="O36">
        <f t="shared" si="7"/>
        <v>1205</v>
      </c>
      <c r="P36">
        <f t="shared" si="8"/>
        <v>105</v>
      </c>
      <c r="Q36" s="1">
        <f t="shared" si="9"/>
        <v>8.1264848709106392</v>
      </c>
      <c r="R36">
        <f t="shared" si="10"/>
        <v>640</v>
      </c>
      <c r="S36">
        <f t="shared" si="11"/>
        <v>46</v>
      </c>
      <c r="T36">
        <f t="shared" si="12"/>
        <v>83.509018898010197</v>
      </c>
      <c r="U36">
        <f t="shared" si="13"/>
        <v>75</v>
      </c>
      <c r="W36">
        <f t="shared" ref="W36:W53" si="27">COUNTIFS(D:D,"OA",B:B,J36,A:A,I36)</f>
        <v>1</v>
      </c>
      <c r="X36">
        <f t="shared" ref="X36:X53" si="28">COUNTIFS(D:D,"CPLEX MISOCP",B:B,J36,A:A,I36)</f>
        <v>1</v>
      </c>
      <c r="Z36" t="str">
        <f t="shared" si="26"/>
        <v>pard200_7 &amp; 10 &amp; 2.21 &amp; 3570 &amp; 216 &amp; 1.15 &amp; 1205 &amp; 105 &amp; 8.13 &amp; 640 &amp; 46 &amp; 83.51 &amp; 75\\</v>
      </c>
    </row>
    <row r="37" spans="1:26" x14ac:dyDescent="0.2">
      <c r="A37" t="s">
        <v>0</v>
      </c>
      <c r="B37" t="s">
        <v>14</v>
      </c>
      <c r="C37" t="s">
        <v>15</v>
      </c>
      <c r="D37" t="s">
        <v>16</v>
      </c>
      <c r="E37" t="s">
        <v>17</v>
      </c>
      <c r="F37" t="s">
        <v>18</v>
      </c>
      <c r="G37" t="s">
        <v>19</v>
      </c>
      <c r="I37" t="str">
        <f t="shared" si="25"/>
        <v>pard200_7</v>
      </c>
      <c r="J37">
        <v>12</v>
      </c>
      <c r="K37" s="1">
        <f t="shared" si="3"/>
        <v>12.0328028202056</v>
      </c>
      <c r="L37">
        <f t="shared" si="4"/>
        <v>15002</v>
      </c>
      <c r="M37">
        <f t="shared" si="5"/>
        <v>76</v>
      </c>
      <c r="N37" s="1">
        <f t="shared" si="6"/>
        <v>1.17383885383605</v>
      </c>
      <c r="O37">
        <f t="shared" si="7"/>
        <v>1185</v>
      </c>
      <c r="P37">
        <f t="shared" si="8"/>
        <v>20</v>
      </c>
      <c r="Q37" s="1">
        <f t="shared" si="9"/>
        <v>9.1676800251006991</v>
      </c>
      <c r="R37">
        <f t="shared" si="10"/>
        <v>725</v>
      </c>
      <c r="S37">
        <f t="shared" si="11"/>
        <v>13</v>
      </c>
      <c r="T37">
        <f t="shared" si="12"/>
        <v>600.005925893783</v>
      </c>
      <c r="U37">
        <f t="shared" si="13"/>
        <v>648</v>
      </c>
      <c r="W37">
        <f t="shared" si="27"/>
        <v>1</v>
      </c>
      <c r="X37">
        <f t="shared" si="28"/>
        <v>1</v>
      </c>
      <c r="Z37" t="str">
        <f t="shared" si="26"/>
        <v>pard200_7 &amp; 12 &amp; 12.03 &amp; 15002 &amp; 76 &amp; 1.17 &amp; 1185 &amp; 20 &amp; 9.17 &amp; 725 &amp; 13 &amp; 600.01 &amp; 648\\</v>
      </c>
    </row>
    <row r="38" spans="1:26" x14ac:dyDescent="0.2">
      <c r="A38" t="s">
        <v>25</v>
      </c>
      <c r="B38">
        <v>200</v>
      </c>
      <c r="C38" t="s">
        <v>21</v>
      </c>
      <c r="D38" t="s">
        <v>1</v>
      </c>
      <c r="E38">
        <v>0.69678711891174305</v>
      </c>
      <c r="F38">
        <v>1716</v>
      </c>
      <c r="G38">
        <v>24</v>
      </c>
      <c r="I38" t="str">
        <f t="shared" si="25"/>
        <v>pard200_7</v>
      </c>
      <c r="J38">
        <v>200</v>
      </c>
      <c r="K38" s="1">
        <f t="shared" si="3"/>
        <v>8.7697160243988002</v>
      </c>
      <c r="L38">
        <f t="shared" si="4"/>
        <v>12926</v>
      </c>
      <c r="M38">
        <f t="shared" si="5"/>
        <v>72</v>
      </c>
      <c r="N38" s="1">
        <f t="shared" si="6"/>
        <v>1.32064509391784</v>
      </c>
      <c r="O38">
        <f t="shared" si="7"/>
        <v>1464</v>
      </c>
      <c r="P38">
        <f t="shared" si="8"/>
        <v>23</v>
      </c>
      <c r="Q38" s="1">
        <f t="shared" si="9"/>
        <v>9.3861279487609792</v>
      </c>
      <c r="R38">
        <f t="shared" si="10"/>
        <v>841</v>
      </c>
      <c r="S38">
        <f t="shared" si="11"/>
        <v>16</v>
      </c>
      <c r="T38">
        <f t="shared" si="12"/>
        <v>600.00525999069202</v>
      </c>
      <c r="U38">
        <f t="shared" si="13"/>
        <v>802</v>
      </c>
      <c r="W38">
        <f t="shared" si="27"/>
        <v>1</v>
      </c>
      <c r="X38">
        <f t="shared" si="28"/>
        <v>1</v>
      </c>
      <c r="Z38" t="str">
        <f>CONCATENATE(I38," &amp; ","nc", " &amp; ", ROUND(K38,2), " &amp; ", L38, " &amp; ", M38, " &amp; ",  ROUND(N38,2), " &amp; ", O38, " &amp; ", P38, " &amp; ", ROUND(Q38,2), " &amp; ", R38, " &amp; ", S38, " &amp; ",  ROUND(T38,2), " &amp; ", U38, "\\")</f>
        <v>pard200_7 &amp; nc &amp; 8.77 &amp; 12926 &amp; 72 &amp; 1.32 &amp; 1464 &amp; 23 &amp; 9.39 &amp; 841 &amp; 16 &amp; 600.01 &amp; 802\\</v>
      </c>
    </row>
    <row r="39" spans="1:26" x14ac:dyDescent="0.2">
      <c r="A39" t="s">
        <v>0</v>
      </c>
      <c r="B39" t="s">
        <v>14</v>
      </c>
      <c r="C39" t="s">
        <v>15</v>
      </c>
      <c r="D39" t="s">
        <v>16</v>
      </c>
      <c r="E39" t="s">
        <v>17</v>
      </c>
      <c r="I39" t="str">
        <f>CONCATENATE($I$1,"8")</f>
        <v>pard200_8</v>
      </c>
      <c r="J39">
        <v>6</v>
      </c>
      <c r="K39" s="1">
        <f t="shared" si="3"/>
        <v>0.19744014739990201</v>
      </c>
      <c r="L39">
        <f t="shared" si="4"/>
        <v>97</v>
      </c>
      <c r="M39">
        <f t="shared" si="5"/>
        <v>43</v>
      </c>
      <c r="N39" s="1">
        <f t="shared" si="6"/>
        <v>0.19175004959106401</v>
      </c>
      <c r="O39">
        <f t="shared" si="7"/>
        <v>75</v>
      </c>
      <c r="P39">
        <f t="shared" si="8"/>
        <v>25</v>
      </c>
      <c r="Q39" s="1">
        <f t="shared" si="9"/>
        <v>2.5652270317077601</v>
      </c>
      <c r="R39">
        <f t="shared" si="10"/>
        <v>41</v>
      </c>
      <c r="S39">
        <f t="shared" si="11"/>
        <v>11</v>
      </c>
      <c r="T39">
        <f t="shared" si="12"/>
        <v>20.5459849834442</v>
      </c>
      <c r="U39">
        <f t="shared" si="13"/>
        <v>19</v>
      </c>
      <c r="W39">
        <f t="shared" si="27"/>
        <v>1</v>
      </c>
      <c r="X39">
        <f t="shared" si="28"/>
        <v>1</v>
      </c>
      <c r="Z39" t="str">
        <f>CONCATENATE(I39," &amp; ",J39, " &amp; ", ROUND(K39,2), " &amp; ", L39, " &amp; ", M39, " &amp; ",  ROUND(N39,2), " &amp; ", O39, " &amp; ", P39, " &amp; ", ROUND(Q39,2), " &amp; ", R39, " &amp; ", S39, " &amp; ",  ROUND(T39,2), " &amp; ", U39, "\\")</f>
        <v>pard200_8 &amp; 6 &amp; 0.2 &amp; 97 &amp; 43 &amp; 0.19 &amp; 75 &amp; 25 &amp; 2.57 &amp; 41 &amp; 11 &amp; 20.55 &amp; 19\\</v>
      </c>
    </row>
    <row r="40" spans="1:26" x14ac:dyDescent="0.2">
      <c r="A40" t="s">
        <v>25</v>
      </c>
      <c r="B40">
        <v>200</v>
      </c>
      <c r="C40" t="s">
        <v>22</v>
      </c>
      <c r="D40" t="s">
        <v>23</v>
      </c>
      <c r="E40">
        <v>600.00539994239796</v>
      </c>
      <c r="F40">
        <v>800</v>
      </c>
      <c r="I40" t="str">
        <f t="shared" ref="I40:I43" si="29">CONCATENATE($I$1,"8")</f>
        <v>pard200_8</v>
      </c>
      <c r="J40">
        <v>8</v>
      </c>
      <c r="K40" s="1">
        <f t="shared" si="3"/>
        <v>0.357752084732055</v>
      </c>
      <c r="L40">
        <f t="shared" si="4"/>
        <v>199</v>
      </c>
      <c r="M40">
        <f t="shared" si="5"/>
        <v>68</v>
      </c>
      <c r="N40" s="1">
        <f t="shared" si="6"/>
        <v>0.51148796081542902</v>
      </c>
      <c r="O40">
        <f t="shared" si="7"/>
        <v>124</v>
      </c>
      <c r="P40">
        <f t="shared" si="8"/>
        <v>36</v>
      </c>
      <c r="Q40" s="1">
        <f t="shared" si="9"/>
        <v>3.3722770214080802</v>
      </c>
      <c r="R40">
        <f t="shared" si="10"/>
        <v>47</v>
      </c>
      <c r="S40">
        <f t="shared" si="11"/>
        <v>12</v>
      </c>
      <c r="T40">
        <f t="shared" si="12"/>
        <v>32.895517826080301</v>
      </c>
      <c r="U40">
        <f t="shared" si="13"/>
        <v>30</v>
      </c>
      <c r="W40">
        <f t="shared" si="27"/>
        <v>1</v>
      </c>
      <c r="X40">
        <f t="shared" si="28"/>
        <v>1</v>
      </c>
      <c r="Z40" t="str">
        <f t="shared" ref="Z40:Z42" si="30">CONCATENATE(I40," &amp; ",J40, " &amp; ", ROUND(K40,2), " &amp; ", L40, " &amp; ", M40, " &amp; ",  ROUND(N40,2), " &amp; ", O40, " &amp; ", P40, " &amp; ", ROUND(Q40,2), " &amp; ", R40, " &amp; ", S40, " &amp; ",  ROUND(T40,2), " &amp; ", U40, "\\")</f>
        <v>pard200_8 &amp; 8 &amp; 0.36 &amp; 199 &amp; 68 &amp; 0.51 &amp; 124 &amp; 36 &amp; 3.37 &amp; 47 &amp; 12 &amp; 32.9 &amp; 30\\</v>
      </c>
    </row>
    <row r="41" spans="1:26" x14ac:dyDescent="0.2">
      <c r="A41" t="s">
        <v>0</v>
      </c>
      <c r="B41" t="s">
        <v>14</v>
      </c>
      <c r="C41" t="s">
        <v>15</v>
      </c>
      <c r="D41" t="s">
        <v>16</v>
      </c>
      <c r="E41" t="s">
        <v>17</v>
      </c>
      <c r="F41" t="s">
        <v>18</v>
      </c>
      <c r="G41" t="s">
        <v>19</v>
      </c>
      <c r="I41" t="str">
        <f t="shared" si="29"/>
        <v>pard200_8</v>
      </c>
      <c r="J41">
        <v>10</v>
      </c>
      <c r="K41" s="1">
        <f t="shared" si="3"/>
        <v>3.2129130363464302</v>
      </c>
      <c r="L41">
        <f t="shared" si="4"/>
        <v>3635</v>
      </c>
      <c r="M41">
        <f t="shared" si="5"/>
        <v>295</v>
      </c>
      <c r="N41" s="1">
        <f t="shared" si="6"/>
        <v>0.77833890914916903</v>
      </c>
      <c r="O41">
        <f t="shared" si="7"/>
        <v>442</v>
      </c>
      <c r="P41">
        <f t="shared" si="8"/>
        <v>88</v>
      </c>
      <c r="Q41" s="1">
        <f t="shared" si="9"/>
        <v>7.2631189823150599</v>
      </c>
      <c r="R41">
        <f t="shared" si="10"/>
        <v>151</v>
      </c>
      <c r="S41">
        <f t="shared" si="11"/>
        <v>20</v>
      </c>
      <c r="T41">
        <f t="shared" si="12"/>
        <v>40.552526950836103</v>
      </c>
      <c r="U41">
        <f t="shared" si="13"/>
        <v>37</v>
      </c>
      <c r="W41">
        <f t="shared" si="27"/>
        <v>1</v>
      </c>
      <c r="X41">
        <f t="shared" si="28"/>
        <v>1</v>
      </c>
      <c r="Z41" t="str">
        <f t="shared" si="30"/>
        <v>pard200_8 &amp; 10 &amp; 3.21 &amp; 3635 &amp; 295 &amp; 0.78 &amp; 442 &amp; 88 &amp; 7.26 &amp; 151 &amp; 20 &amp; 40.55 &amp; 37\\</v>
      </c>
    </row>
    <row r="42" spans="1:26" x14ac:dyDescent="0.2">
      <c r="A42" t="s">
        <v>26</v>
      </c>
      <c r="B42">
        <v>6</v>
      </c>
      <c r="C42" t="s">
        <v>21</v>
      </c>
      <c r="D42" t="s">
        <v>1</v>
      </c>
      <c r="E42">
        <v>0.871890068054199</v>
      </c>
      <c r="F42">
        <v>904</v>
      </c>
      <c r="G42">
        <v>158</v>
      </c>
      <c r="I42" t="str">
        <f t="shared" si="29"/>
        <v>pard200_8</v>
      </c>
      <c r="J42">
        <v>12</v>
      </c>
      <c r="K42" s="1">
        <f t="shared" si="3"/>
        <v>96.286812067031804</v>
      </c>
      <c r="L42">
        <f t="shared" si="4"/>
        <v>82403</v>
      </c>
      <c r="M42">
        <f t="shared" si="5"/>
        <v>581</v>
      </c>
      <c r="N42" s="1">
        <f t="shared" si="6"/>
        <v>3.0921640396118102</v>
      </c>
      <c r="O42">
        <f t="shared" si="7"/>
        <v>2237</v>
      </c>
      <c r="P42">
        <f t="shared" si="8"/>
        <v>171</v>
      </c>
      <c r="Q42" s="1">
        <f t="shared" si="9"/>
        <v>8.7144072055816597</v>
      </c>
      <c r="R42">
        <f t="shared" si="10"/>
        <v>1080</v>
      </c>
      <c r="S42">
        <f t="shared" si="11"/>
        <v>56</v>
      </c>
      <c r="T42">
        <f t="shared" si="12"/>
        <v>185.182624101638</v>
      </c>
      <c r="U42">
        <f t="shared" si="13"/>
        <v>200</v>
      </c>
      <c r="W42">
        <f t="shared" si="27"/>
        <v>1</v>
      </c>
      <c r="X42">
        <f t="shared" si="28"/>
        <v>1</v>
      </c>
      <c r="Z42" t="str">
        <f t="shared" si="30"/>
        <v>pard200_8 &amp; 12 &amp; 96.29 &amp; 82403 &amp; 581 &amp; 3.09 &amp; 2237 &amp; 171 &amp; 8.71 &amp; 1080 &amp; 56 &amp; 185.18 &amp; 200\\</v>
      </c>
    </row>
    <row r="43" spans="1:26" x14ac:dyDescent="0.2">
      <c r="A43" t="s">
        <v>0</v>
      </c>
      <c r="B43" t="s">
        <v>14</v>
      </c>
      <c r="C43" t="s">
        <v>15</v>
      </c>
      <c r="D43" t="s">
        <v>16</v>
      </c>
      <c r="E43" t="s">
        <v>17</v>
      </c>
      <c r="I43" t="str">
        <f t="shared" si="29"/>
        <v>pard200_8</v>
      </c>
      <c r="J43">
        <v>200</v>
      </c>
      <c r="K43" s="1">
        <f t="shared" si="3"/>
        <v>45.6830699443817</v>
      </c>
      <c r="L43">
        <f t="shared" si="4"/>
        <v>66786</v>
      </c>
      <c r="M43">
        <f t="shared" si="5"/>
        <v>574</v>
      </c>
      <c r="N43" s="1">
        <f t="shared" si="6"/>
        <v>2.9619369506835902</v>
      </c>
      <c r="O43">
        <f t="shared" si="7"/>
        <v>2455</v>
      </c>
      <c r="P43">
        <f t="shared" si="8"/>
        <v>160</v>
      </c>
      <c r="Q43" s="1">
        <f t="shared" si="9"/>
        <v>10.206653118133501</v>
      </c>
      <c r="R43">
        <f t="shared" si="10"/>
        <v>1999</v>
      </c>
      <c r="S43">
        <f t="shared" si="11"/>
        <v>67</v>
      </c>
      <c r="T43">
        <f t="shared" si="12"/>
        <v>600.00392603874195</v>
      </c>
      <c r="U43">
        <f t="shared" si="13"/>
        <v>964</v>
      </c>
      <c r="W43">
        <f t="shared" si="27"/>
        <v>1</v>
      </c>
      <c r="X43">
        <f t="shared" si="28"/>
        <v>1</v>
      </c>
      <c r="Z43" t="str">
        <f>CONCATENATE(I43," &amp; ","nc", " &amp; ", ROUND(K43,2), " &amp; ", L43, " &amp; ", M43, " &amp; ",  ROUND(N43,2), " &amp; ", O43, " &amp; ", P43, " &amp; ", ROUND(Q43,2), " &amp; ", R43, " &amp; ", S43, " &amp; ",  ROUND(T43,2), " &amp; ", U43, "\\")</f>
        <v>pard200_8 &amp; nc &amp; 45.68 &amp; 66786 &amp; 574 &amp; 2.96 &amp; 2455 &amp; 160 &amp; 10.21 &amp; 1999 &amp; 67 &amp; 600 &amp; 964\\</v>
      </c>
    </row>
    <row r="44" spans="1:26" x14ac:dyDescent="0.2">
      <c r="A44" t="s">
        <v>26</v>
      </c>
      <c r="B44">
        <v>6</v>
      </c>
      <c r="C44" t="s">
        <v>22</v>
      </c>
      <c r="D44" t="s">
        <v>23</v>
      </c>
      <c r="E44">
        <v>103.714556932449</v>
      </c>
      <c r="F44">
        <v>103</v>
      </c>
      <c r="I44" t="str">
        <f>CONCATENATE($I$1,"9")</f>
        <v>pard200_9</v>
      </c>
      <c r="J44">
        <v>6</v>
      </c>
      <c r="K44" s="1">
        <f t="shared" si="3"/>
        <v>2.6005330085754301</v>
      </c>
      <c r="L44">
        <f t="shared" si="4"/>
        <v>2404</v>
      </c>
      <c r="M44">
        <f t="shared" si="5"/>
        <v>390</v>
      </c>
      <c r="N44" s="1">
        <f t="shared" si="6"/>
        <v>2.6158139705657901</v>
      </c>
      <c r="O44">
        <f t="shared" si="7"/>
        <v>2262</v>
      </c>
      <c r="P44">
        <f t="shared" si="8"/>
        <v>338</v>
      </c>
      <c r="Q44" s="1">
        <f t="shared" si="9"/>
        <v>7.7518219947814897</v>
      </c>
      <c r="R44">
        <f t="shared" si="10"/>
        <v>1211</v>
      </c>
      <c r="S44">
        <f t="shared" si="11"/>
        <v>110</v>
      </c>
      <c r="T44">
        <f t="shared" si="12"/>
        <v>79.607216835021902</v>
      </c>
      <c r="U44">
        <f t="shared" si="13"/>
        <v>91</v>
      </c>
      <c r="W44">
        <f t="shared" si="27"/>
        <v>1</v>
      </c>
      <c r="X44">
        <f t="shared" si="28"/>
        <v>1</v>
      </c>
      <c r="Z44" t="str">
        <f>CONCATENATE(I44," &amp; ",J44, " &amp; ", ROUND(K44,2), " &amp; ", L44, " &amp; ", M44, " &amp; ",  ROUND(N44,2), " &amp; ", O44, " &amp; ", P44, " &amp; ", ROUND(Q44,2), " &amp; ", R44, " &amp; ", S44, " &amp; ",  ROUND(T44,2), " &amp; ", U44, "\\")</f>
        <v>pard200_9 &amp; 6 &amp; 2.6 &amp; 2404 &amp; 390 &amp; 2.62 &amp; 2262 &amp; 338 &amp; 7.75 &amp; 1211 &amp; 110 &amp; 79.61 &amp; 91\\</v>
      </c>
    </row>
    <row r="45" spans="1:26" x14ac:dyDescent="0.2">
      <c r="A45" t="s">
        <v>0</v>
      </c>
      <c r="B45" t="s">
        <v>14</v>
      </c>
      <c r="C45" t="s">
        <v>15</v>
      </c>
      <c r="D45" t="s">
        <v>16</v>
      </c>
      <c r="E45" t="s">
        <v>17</v>
      </c>
      <c r="F45" t="s">
        <v>18</v>
      </c>
      <c r="G45" t="s">
        <v>19</v>
      </c>
      <c r="I45" t="str">
        <f t="shared" ref="I45:I48" si="31">CONCATENATE($I$1,"9")</f>
        <v>pard200_9</v>
      </c>
      <c r="J45">
        <v>8</v>
      </c>
      <c r="K45" s="1">
        <f t="shared" si="3"/>
        <v>5.6233530044555602</v>
      </c>
      <c r="L45">
        <f t="shared" si="4"/>
        <v>5052</v>
      </c>
      <c r="M45">
        <f t="shared" si="5"/>
        <v>657</v>
      </c>
      <c r="N45" s="1">
        <f t="shared" si="6"/>
        <v>5.8317420482635498</v>
      </c>
      <c r="O45">
        <f t="shared" si="7"/>
        <v>3814</v>
      </c>
      <c r="P45">
        <f t="shared" si="8"/>
        <v>540</v>
      </c>
      <c r="Q45" s="1">
        <f t="shared" si="9"/>
        <v>10.1919600963592</v>
      </c>
      <c r="R45">
        <f t="shared" si="10"/>
        <v>2093</v>
      </c>
      <c r="S45">
        <f t="shared" si="11"/>
        <v>289</v>
      </c>
      <c r="T45">
        <f t="shared" si="12"/>
        <v>108.126107931137</v>
      </c>
      <c r="U45">
        <f t="shared" si="13"/>
        <v>136</v>
      </c>
      <c r="W45">
        <f t="shared" si="27"/>
        <v>1</v>
      </c>
      <c r="X45">
        <f t="shared" si="28"/>
        <v>1</v>
      </c>
      <c r="Z45" t="str">
        <f t="shared" ref="Z45:Z47" si="32">CONCATENATE(I45," &amp; ",J45, " &amp; ", ROUND(K45,2), " &amp; ", L45, " &amp; ", M45, " &amp; ",  ROUND(N45,2), " &amp; ", O45, " &amp; ", P45, " &amp; ", ROUND(Q45,2), " &amp; ", R45, " &amp; ", S45, " &amp; ",  ROUND(T45,2), " &amp; ", U45, "\\")</f>
        <v>pard200_9 &amp; 8 &amp; 5.62 &amp; 5052 &amp; 657 &amp; 5.83 &amp; 3814 &amp; 540 &amp; 10.19 &amp; 2093 &amp; 289 &amp; 108.13 &amp; 136\\</v>
      </c>
    </row>
    <row r="46" spans="1:26" x14ac:dyDescent="0.2">
      <c r="A46" t="s">
        <v>26</v>
      </c>
      <c r="B46">
        <v>8</v>
      </c>
      <c r="C46" t="s">
        <v>21</v>
      </c>
      <c r="D46" t="s">
        <v>1</v>
      </c>
      <c r="E46">
        <v>0.67007708549499501</v>
      </c>
      <c r="F46">
        <v>818</v>
      </c>
      <c r="G46">
        <v>98</v>
      </c>
      <c r="I46" t="str">
        <f t="shared" si="31"/>
        <v>pard200_9</v>
      </c>
      <c r="J46">
        <v>10</v>
      </c>
      <c r="K46" s="1">
        <f t="shared" si="3"/>
        <v>3.7555148601531898</v>
      </c>
      <c r="L46">
        <f t="shared" si="4"/>
        <v>3582</v>
      </c>
      <c r="M46">
        <f t="shared" si="5"/>
        <v>403</v>
      </c>
      <c r="N46" s="1">
        <f t="shared" si="6"/>
        <v>3.09330701828002</v>
      </c>
      <c r="O46">
        <f t="shared" si="7"/>
        <v>1817</v>
      </c>
      <c r="P46">
        <f t="shared" si="8"/>
        <v>259</v>
      </c>
      <c r="Q46" s="1">
        <f t="shared" si="9"/>
        <v>9.5331740379333496</v>
      </c>
      <c r="R46">
        <f t="shared" si="10"/>
        <v>754</v>
      </c>
      <c r="S46">
        <f t="shared" si="11"/>
        <v>125</v>
      </c>
      <c r="T46">
        <f t="shared" si="12"/>
        <v>65.213815927505493</v>
      </c>
      <c r="U46">
        <f t="shared" si="13"/>
        <v>82</v>
      </c>
      <c r="W46">
        <f t="shared" si="27"/>
        <v>1</v>
      </c>
      <c r="X46">
        <f t="shared" si="28"/>
        <v>1</v>
      </c>
      <c r="Z46" t="str">
        <f t="shared" si="32"/>
        <v>pard200_9 &amp; 10 &amp; 3.76 &amp; 3582 &amp; 403 &amp; 3.09 &amp; 1817 &amp; 259 &amp; 9.53 &amp; 754 &amp; 125 &amp; 65.21 &amp; 82\\</v>
      </c>
    </row>
    <row r="47" spans="1:26" x14ac:dyDescent="0.2">
      <c r="A47" t="s">
        <v>0</v>
      </c>
      <c r="B47" t="s">
        <v>14</v>
      </c>
      <c r="C47" t="s">
        <v>15</v>
      </c>
      <c r="D47" t="s">
        <v>16</v>
      </c>
      <c r="E47" t="s">
        <v>17</v>
      </c>
      <c r="I47" t="str">
        <f t="shared" si="31"/>
        <v>pard200_9</v>
      </c>
      <c r="J47">
        <v>12</v>
      </c>
      <c r="K47" s="1">
        <f t="shared" si="3"/>
        <v>1.9757871627807599</v>
      </c>
      <c r="L47">
        <f t="shared" si="4"/>
        <v>2535</v>
      </c>
      <c r="M47">
        <f t="shared" si="5"/>
        <v>147</v>
      </c>
      <c r="N47" s="1">
        <f t="shared" si="6"/>
        <v>0.52402305603027299</v>
      </c>
      <c r="O47">
        <f t="shared" si="7"/>
        <v>296</v>
      </c>
      <c r="P47">
        <f t="shared" si="8"/>
        <v>42</v>
      </c>
      <c r="Q47" s="1">
        <f t="shared" si="9"/>
        <v>7.7646949291229204</v>
      </c>
      <c r="R47">
        <f t="shared" si="10"/>
        <v>134</v>
      </c>
      <c r="S47">
        <f t="shared" si="11"/>
        <v>10</v>
      </c>
      <c r="T47">
        <f t="shared" si="12"/>
        <v>23.7034430503845</v>
      </c>
      <c r="U47">
        <f t="shared" si="13"/>
        <v>23</v>
      </c>
      <c r="W47">
        <f t="shared" si="27"/>
        <v>1</v>
      </c>
      <c r="X47">
        <f t="shared" si="28"/>
        <v>1</v>
      </c>
      <c r="Z47" t="str">
        <f t="shared" si="32"/>
        <v>pard200_9 &amp; 12 &amp; 1.98 &amp; 2535 &amp; 147 &amp; 0.52 &amp; 296 &amp; 42 &amp; 7.76 &amp; 134 &amp; 10 &amp; 23.7 &amp; 23\\</v>
      </c>
    </row>
    <row r="48" spans="1:26" x14ac:dyDescent="0.2">
      <c r="A48" t="s">
        <v>26</v>
      </c>
      <c r="B48">
        <v>8</v>
      </c>
      <c r="C48" t="s">
        <v>22</v>
      </c>
      <c r="D48" t="s">
        <v>23</v>
      </c>
      <c r="E48">
        <v>85.763700962066594</v>
      </c>
      <c r="F48">
        <v>81</v>
      </c>
      <c r="I48" t="str">
        <f t="shared" si="31"/>
        <v>pard200_9</v>
      </c>
      <c r="J48">
        <v>200</v>
      </c>
      <c r="K48" s="1">
        <f t="shared" si="3"/>
        <v>1.96163702011108</v>
      </c>
      <c r="L48">
        <f t="shared" si="4"/>
        <v>2473</v>
      </c>
      <c r="M48">
        <f t="shared" si="5"/>
        <v>148</v>
      </c>
      <c r="N48" s="1">
        <f t="shared" si="6"/>
        <v>1.6454260349273599</v>
      </c>
      <c r="O48">
        <f t="shared" si="7"/>
        <v>1675</v>
      </c>
      <c r="P48">
        <f t="shared" si="8"/>
        <v>95</v>
      </c>
      <c r="Q48" s="1">
        <f t="shared" si="9"/>
        <v>9.8887670040130597</v>
      </c>
      <c r="R48">
        <f t="shared" si="10"/>
        <v>899</v>
      </c>
      <c r="S48">
        <f t="shared" si="11"/>
        <v>78</v>
      </c>
      <c r="T48">
        <f t="shared" si="12"/>
        <v>600.00408601760796</v>
      </c>
      <c r="U48">
        <f t="shared" si="13"/>
        <v>675</v>
      </c>
      <c r="W48">
        <f t="shared" si="27"/>
        <v>1</v>
      </c>
      <c r="X48">
        <f t="shared" si="28"/>
        <v>1</v>
      </c>
      <c r="Z48" t="str">
        <f>CONCATENATE(I48," &amp; ","nc", " &amp; ", ROUND(K48,2), " &amp; ", L48, " &amp; ", M48, " &amp; ",  ROUND(N48,2), " &amp; ", O48, " &amp; ", P48, " &amp; ", ROUND(Q48,2), " &amp; ", R48, " &amp; ", S48, " &amp; ",  ROUND(T48,2), " &amp; ", U48, "\\")</f>
        <v>pard200_9 &amp; nc &amp; 1.96 &amp; 2473 &amp; 148 &amp; 1.65 &amp; 1675 &amp; 95 &amp; 9.89 &amp; 899 &amp; 78 &amp; 600 &amp; 675\\</v>
      </c>
    </row>
    <row r="49" spans="1:26" x14ac:dyDescent="0.2">
      <c r="A49" t="s">
        <v>0</v>
      </c>
      <c r="B49" t="s">
        <v>14</v>
      </c>
      <c r="C49" t="s">
        <v>15</v>
      </c>
      <c r="D49" t="s">
        <v>16</v>
      </c>
      <c r="E49" t="s">
        <v>17</v>
      </c>
      <c r="F49" t="s">
        <v>18</v>
      </c>
      <c r="G49" t="s">
        <v>19</v>
      </c>
      <c r="I49" t="str">
        <f>CONCATENATE($I$1,"10")</f>
        <v>pard200_10</v>
      </c>
      <c r="J49">
        <v>6</v>
      </c>
      <c r="K49" s="1">
        <f t="shared" si="3"/>
        <v>1.20407319068908</v>
      </c>
      <c r="L49">
        <f t="shared" si="4"/>
        <v>1122</v>
      </c>
      <c r="M49">
        <f t="shared" si="5"/>
        <v>226</v>
      </c>
      <c r="N49" s="1">
        <f t="shared" si="6"/>
        <v>1.4197349548339799</v>
      </c>
      <c r="O49">
        <f t="shared" si="7"/>
        <v>992</v>
      </c>
      <c r="P49">
        <f t="shared" si="8"/>
        <v>188</v>
      </c>
      <c r="Q49" s="1">
        <f t="shared" si="9"/>
        <v>6.8578088283538801</v>
      </c>
      <c r="R49">
        <f t="shared" si="10"/>
        <v>385</v>
      </c>
      <c r="S49">
        <f t="shared" si="11"/>
        <v>41</v>
      </c>
      <c r="T49">
        <f t="shared" si="12"/>
        <v>63.011338949203399</v>
      </c>
      <c r="U49">
        <f t="shared" si="13"/>
        <v>73</v>
      </c>
      <c r="W49">
        <f t="shared" si="27"/>
        <v>1</v>
      </c>
      <c r="X49">
        <f t="shared" si="28"/>
        <v>1</v>
      </c>
      <c r="Z49" t="str">
        <f>CONCATENATE(I49," &amp; ",J49, " &amp; ", ROUND(K49,2), " &amp; ", L49, " &amp; ", M49, " &amp; ",  ROUND(N49,2), " &amp; ", O49, " &amp; ", P49, " &amp; ", ROUND(Q49,2), " &amp; ", R49, " &amp; ", S49, " &amp; ",  ROUND(T49,2), " &amp; ", U49, "\\")</f>
        <v>pard200_10 &amp; 6 &amp; 1.2 &amp; 1122 &amp; 226 &amp; 1.42 &amp; 992 &amp; 188 &amp; 6.86 &amp; 385 &amp; 41 &amp; 63.01 &amp; 73\\</v>
      </c>
    </row>
    <row r="50" spans="1:26" x14ac:dyDescent="0.2">
      <c r="A50" t="s">
        <v>26</v>
      </c>
      <c r="B50">
        <v>10</v>
      </c>
      <c r="C50" t="s">
        <v>21</v>
      </c>
      <c r="D50" t="s">
        <v>1</v>
      </c>
      <c r="E50">
        <v>2.4472448825836102</v>
      </c>
      <c r="F50">
        <v>4584</v>
      </c>
      <c r="G50">
        <v>189</v>
      </c>
      <c r="I50" t="str">
        <f t="shared" ref="I50:I53" si="33">CONCATENATE($I$1,"10")</f>
        <v>pard200_10</v>
      </c>
      <c r="J50">
        <v>8</v>
      </c>
      <c r="K50" s="1">
        <f t="shared" si="3"/>
        <v>1.62022805213928</v>
      </c>
      <c r="L50">
        <f t="shared" si="4"/>
        <v>1599</v>
      </c>
      <c r="M50">
        <f t="shared" si="5"/>
        <v>242</v>
      </c>
      <c r="N50" s="1">
        <f t="shared" si="6"/>
        <v>1.4833950996398899</v>
      </c>
      <c r="O50">
        <f t="shared" si="7"/>
        <v>992</v>
      </c>
      <c r="P50">
        <f t="shared" si="8"/>
        <v>178</v>
      </c>
      <c r="Q50" s="1">
        <f t="shared" si="9"/>
        <v>6.9082190990447998</v>
      </c>
      <c r="R50">
        <f t="shared" si="10"/>
        <v>415</v>
      </c>
      <c r="S50">
        <f t="shared" si="11"/>
        <v>41</v>
      </c>
      <c r="T50">
        <f t="shared" si="12"/>
        <v>56.536921024322503</v>
      </c>
      <c r="U50">
        <f t="shared" si="13"/>
        <v>61</v>
      </c>
      <c r="W50">
        <f t="shared" si="27"/>
        <v>1</v>
      </c>
      <c r="X50">
        <f t="shared" si="28"/>
        <v>1</v>
      </c>
      <c r="Z50" t="str">
        <f t="shared" ref="Z50:Z52" si="34">CONCATENATE(I50," &amp; ",J50, " &amp; ", ROUND(K50,2), " &amp; ", L50, " &amp; ", M50, " &amp; ",  ROUND(N50,2), " &amp; ", O50, " &amp; ", P50, " &amp; ", ROUND(Q50,2), " &amp; ", R50, " &amp; ", S50, " &amp; ",  ROUND(T50,2), " &amp; ", U50, "\\")</f>
        <v>pard200_10 &amp; 8 &amp; 1.62 &amp; 1599 &amp; 242 &amp; 1.48 &amp; 992 &amp; 178 &amp; 6.91 &amp; 415 &amp; 41 &amp; 56.54 &amp; 61\\</v>
      </c>
    </row>
    <row r="51" spans="1:26" x14ac:dyDescent="0.2">
      <c r="A51" t="s">
        <v>0</v>
      </c>
      <c r="B51" t="s">
        <v>14</v>
      </c>
      <c r="C51" t="s">
        <v>15</v>
      </c>
      <c r="D51" t="s">
        <v>16</v>
      </c>
      <c r="E51" t="s">
        <v>17</v>
      </c>
      <c r="I51" t="str">
        <f t="shared" si="33"/>
        <v>pard200_10</v>
      </c>
      <c r="J51">
        <v>10</v>
      </c>
      <c r="K51" s="1">
        <f t="shared" si="3"/>
        <v>36.508350849151597</v>
      </c>
      <c r="L51">
        <f t="shared" si="4"/>
        <v>25449</v>
      </c>
      <c r="M51">
        <f t="shared" si="5"/>
        <v>1771</v>
      </c>
      <c r="N51" s="1">
        <f t="shared" si="6"/>
        <v>9.5089349746704102</v>
      </c>
      <c r="O51">
        <f t="shared" si="7"/>
        <v>6730</v>
      </c>
      <c r="P51">
        <f t="shared" si="8"/>
        <v>833</v>
      </c>
      <c r="Q51" s="1">
        <f t="shared" si="9"/>
        <v>14.2733981609344</v>
      </c>
      <c r="R51">
        <f t="shared" si="10"/>
        <v>4025</v>
      </c>
      <c r="S51">
        <f t="shared" si="11"/>
        <v>597</v>
      </c>
      <c r="T51">
        <f t="shared" si="12"/>
        <v>179.957571983337</v>
      </c>
      <c r="U51">
        <f t="shared" si="13"/>
        <v>232</v>
      </c>
      <c r="W51">
        <f t="shared" si="27"/>
        <v>1</v>
      </c>
      <c r="X51">
        <f t="shared" si="28"/>
        <v>1</v>
      </c>
      <c r="Z51" t="str">
        <f t="shared" si="34"/>
        <v>pard200_10 &amp; 10 &amp; 36.51 &amp; 25449 &amp; 1771 &amp; 9.51 &amp; 6730 &amp; 833 &amp; 14.27 &amp; 4025 &amp; 597 &amp; 179.96 &amp; 232\\</v>
      </c>
    </row>
    <row r="52" spans="1:26" x14ac:dyDescent="0.2">
      <c r="A52" t="s">
        <v>26</v>
      </c>
      <c r="B52">
        <v>10</v>
      </c>
      <c r="C52" t="s">
        <v>22</v>
      </c>
      <c r="D52" t="s">
        <v>23</v>
      </c>
      <c r="E52">
        <v>210.902570009231</v>
      </c>
      <c r="F52">
        <v>215</v>
      </c>
      <c r="I52" t="str">
        <f t="shared" si="33"/>
        <v>pard200_10</v>
      </c>
      <c r="J52">
        <v>12</v>
      </c>
      <c r="K52" s="1">
        <f t="shared" si="3"/>
        <v>3.7959690093994101</v>
      </c>
      <c r="L52">
        <f t="shared" si="4"/>
        <v>5711</v>
      </c>
      <c r="M52">
        <f t="shared" si="5"/>
        <v>211</v>
      </c>
      <c r="N52" s="1">
        <f t="shared" si="6"/>
        <v>0.58071494102478005</v>
      </c>
      <c r="O52">
        <f t="shared" si="7"/>
        <v>300</v>
      </c>
      <c r="P52">
        <f t="shared" si="8"/>
        <v>35</v>
      </c>
      <c r="Q52" s="1">
        <f t="shared" si="9"/>
        <v>7.7813558578491202</v>
      </c>
      <c r="R52">
        <f t="shared" si="10"/>
        <v>152</v>
      </c>
      <c r="S52">
        <f t="shared" si="11"/>
        <v>10</v>
      </c>
      <c r="T52">
        <f t="shared" si="12"/>
        <v>20.484612941741901</v>
      </c>
      <c r="U52">
        <f t="shared" si="13"/>
        <v>25</v>
      </c>
      <c r="W52">
        <f t="shared" si="27"/>
        <v>1</v>
      </c>
      <c r="X52">
        <f t="shared" si="28"/>
        <v>1</v>
      </c>
      <c r="Z52" t="str">
        <f t="shared" si="34"/>
        <v>pard200_10 &amp; 12 &amp; 3.8 &amp; 5711 &amp; 211 &amp; 0.58 &amp; 300 &amp; 35 &amp; 7.78 &amp; 152 &amp; 10 &amp; 20.48 &amp; 25\\</v>
      </c>
    </row>
    <row r="53" spans="1:26" x14ac:dyDescent="0.2">
      <c r="A53" t="s">
        <v>0</v>
      </c>
      <c r="B53" t="s">
        <v>14</v>
      </c>
      <c r="C53" t="s">
        <v>15</v>
      </c>
      <c r="D53" t="s">
        <v>16</v>
      </c>
      <c r="E53" t="s">
        <v>17</v>
      </c>
      <c r="F53" t="s">
        <v>18</v>
      </c>
      <c r="G53" t="s">
        <v>19</v>
      </c>
      <c r="I53" t="str">
        <f t="shared" si="33"/>
        <v>pard200_10</v>
      </c>
      <c r="J53">
        <v>200</v>
      </c>
      <c r="K53" s="1">
        <f t="shared" si="3"/>
        <v>4.7483870983123699</v>
      </c>
      <c r="L53">
        <f t="shared" si="4"/>
        <v>7010</v>
      </c>
      <c r="M53">
        <f t="shared" si="5"/>
        <v>230</v>
      </c>
      <c r="N53" s="1">
        <f t="shared" si="6"/>
        <v>2.9255380630493102</v>
      </c>
      <c r="O53">
        <f t="shared" si="7"/>
        <v>2085</v>
      </c>
      <c r="P53">
        <f t="shared" si="8"/>
        <v>164</v>
      </c>
      <c r="Q53" s="1">
        <f t="shared" si="9"/>
        <v>11.8394680023193</v>
      </c>
      <c r="R53">
        <f t="shared" si="10"/>
        <v>2115</v>
      </c>
      <c r="S53">
        <f t="shared" si="11"/>
        <v>117</v>
      </c>
      <c r="T53">
        <f t="shared" si="12"/>
        <v>600.00870299339294</v>
      </c>
      <c r="U53">
        <f t="shared" si="13"/>
        <v>632</v>
      </c>
      <c r="W53">
        <f t="shared" si="27"/>
        <v>1</v>
      </c>
      <c r="X53">
        <f t="shared" si="28"/>
        <v>1</v>
      </c>
      <c r="Z53" t="str">
        <f>CONCATENATE(I53," &amp; ","nc", " &amp; ", ROUND(K53,2), " &amp; ", L53, " &amp; ", M53, " &amp; ",  ROUND(N53,2), " &amp; ", O53, " &amp; ", P53, " &amp; ", ROUND(Q53,2), " &amp; ", R53, " &amp; ", S53, " &amp; ",  ROUND(T53,2), " &amp; ", U53, "\\")</f>
        <v>pard200_10 &amp; nc &amp; 4.75 &amp; 7010 &amp; 230 &amp; 2.93 &amp; 2085 &amp; 164 &amp; 11.84 &amp; 2115 &amp; 117 &amp; 600.01 &amp; 632\\</v>
      </c>
    </row>
    <row r="54" spans="1:26" x14ac:dyDescent="0.2">
      <c r="A54" t="s">
        <v>26</v>
      </c>
      <c r="B54">
        <v>12</v>
      </c>
      <c r="C54" t="s">
        <v>21</v>
      </c>
      <c r="D54" t="s">
        <v>1</v>
      </c>
      <c r="E54">
        <v>1.70713114738464</v>
      </c>
      <c r="F54">
        <v>3034</v>
      </c>
      <c r="G54">
        <v>42</v>
      </c>
    </row>
    <row r="55" spans="1:26" x14ac:dyDescent="0.2">
      <c r="A55" t="s">
        <v>0</v>
      </c>
      <c r="B55" t="s">
        <v>14</v>
      </c>
      <c r="C55" t="s">
        <v>15</v>
      </c>
      <c r="D55" t="s">
        <v>16</v>
      </c>
      <c r="E55" t="s">
        <v>17</v>
      </c>
    </row>
    <row r="56" spans="1:26" x14ac:dyDescent="0.2">
      <c r="A56" t="s">
        <v>26</v>
      </c>
      <c r="B56">
        <v>12</v>
      </c>
      <c r="C56" t="s">
        <v>22</v>
      </c>
      <c r="D56" t="s">
        <v>23</v>
      </c>
      <c r="E56">
        <v>600.00241804122902</v>
      </c>
      <c r="F56">
        <v>648</v>
      </c>
    </row>
    <row r="57" spans="1:26" x14ac:dyDescent="0.2">
      <c r="A57" t="s">
        <v>0</v>
      </c>
      <c r="B57" t="s">
        <v>14</v>
      </c>
      <c r="C57" t="s">
        <v>15</v>
      </c>
      <c r="D57" t="s">
        <v>16</v>
      </c>
      <c r="E57" t="s">
        <v>17</v>
      </c>
      <c r="F57" t="s">
        <v>18</v>
      </c>
      <c r="G57" t="s">
        <v>19</v>
      </c>
    </row>
    <row r="58" spans="1:26" x14ac:dyDescent="0.2">
      <c r="A58" t="s">
        <v>26</v>
      </c>
      <c r="B58">
        <v>200</v>
      </c>
      <c r="C58" t="s">
        <v>21</v>
      </c>
      <c r="D58" t="s">
        <v>1</v>
      </c>
      <c r="E58">
        <v>1.2097580432891799</v>
      </c>
      <c r="F58">
        <v>2803</v>
      </c>
      <c r="G58">
        <v>38</v>
      </c>
    </row>
    <row r="59" spans="1:26" x14ac:dyDescent="0.2">
      <c r="A59" t="s">
        <v>0</v>
      </c>
      <c r="B59" t="s">
        <v>14</v>
      </c>
      <c r="C59" t="s">
        <v>15</v>
      </c>
      <c r="D59" t="s">
        <v>16</v>
      </c>
      <c r="E59" t="s">
        <v>17</v>
      </c>
    </row>
    <row r="60" spans="1:26" x14ac:dyDescent="0.2">
      <c r="A60" t="s">
        <v>26</v>
      </c>
      <c r="B60">
        <v>200</v>
      </c>
      <c r="C60" t="s">
        <v>22</v>
      </c>
      <c r="D60" t="s">
        <v>23</v>
      </c>
      <c r="E60">
        <v>600.00581693649201</v>
      </c>
      <c r="F60">
        <v>688</v>
      </c>
    </row>
    <row r="61" spans="1:26" x14ac:dyDescent="0.2">
      <c r="A61" t="s">
        <v>0</v>
      </c>
      <c r="B61" t="s">
        <v>14</v>
      </c>
      <c r="C61" t="s">
        <v>15</v>
      </c>
      <c r="D61" t="s">
        <v>16</v>
      </c>
      <c r="E61" t="s">
        <v>17</v>
      </c>
      <c r="F61" t="s">
        <v>18</v>
      </c>
      <c r="G61" t="s">
        <v>19</v>
      </c>
    </row>
    <row r="62" spans="1:26" x14ac:dyDescent="0.2">
      <c r="A62" t="s">
        <v>27</v>
      </c>
      <c r="B62">
        <v>6</v>
      </c>
      <c r="C62" t="s">
        <v>21</v>
      </c>
      <c r="D62" t="s">
        <v>1</v>
      </c>
      <c r="E62">
        <v>1.53483390808105</v>
      </c>
      <c r="F62">
        <v>2096</v>
      </c>
      <c r="G62">
        <v>262</v>
      </c>
    </row>
    <row r="63" spans="1:26" x14ac:dyDescent="0.2">
      <c r="A63" t="s">
        <v>0</v>
      </c>
      <c r="B63" t="s">
        <v>14</v>
      </c>
      <c r="C63" t="s">
        <v>15</v>
      </c>
      <c r="D63" t="s">
        <v>16</v>
      </c>
      <c r="E63" t="s">
        <v>17</v>
      </c>
    </row>
    <row r="64" spans="1:26" x14ac:dyDescent="0.2">
      <c r="A64" t="s">
        <v>27</v>
      </c>
      <c r="B64">
        <v>6</v>
      </c>
      <c r="C64" t="s">
        <v>22</v>
      </c>
      <c r="D64" t="s">
        <v>23</v>
      </c>
      <c r="E64">
        <v>230.28592777252101</v>
      </c>
      <c r="F64">
        <v>248</v>
      </c>
    </row>
    <row r="65" spans="1:7" x14ac:dyDescent="0.2">
      <c r="A65" t="s">
        <v>0</v>
      </c>
      <c r="B65" t="s">
        <v>14</v>
      </c>
      <c r="C65" t="s">
        <v>15</v>
      </c>
      <c r="D65" t="s">
        <v>16</v>
      </c>
      <c r="E65" t="s">
        <v>17</v>
      </c>
      <c r="F65" t="s">
        <v>18</v>
      </c>
      <c r="G65" t="s">
        <v>19</v>
      </c>
    </row>
    <row r="66" spans="1:7" x14ac:dyDescent="0.2">
      <c r="A66" t="s">
        <v>27</v>
      </c>
      <c r="B66">
        <v>8</v>
      </c>
      <c r="C66" t="s">
        <v>21</v>
      </c>
      <c r="D66" t="s">
        <v>1</v>
      </c>
      <c r="E66">
        <v>2.72827696800231</v>
      </c>
      <c r="F66">
        <v>3820</v>
      </c>
      <c r="G66">
        <v>343</v>
      </c>
    </row>
    <row r="67" spans="1:7" x14ac:dyDescent="0.2">
      <c r="A67" t="s">
        <v>0</v>
      </c>
      <c r="B67" t="s">
        <v>14</v>
      </c>
      <c r="C67" t="s">
        <v>15</v>
      </c>
      <c r="D67" t="s">
        <v>16</v>
      </c>
      <c r="E67" t="s">
        <v>17</v>
      </c>
    </row>
    <row r="68" spans="1:7" x14ac:dyDescent="0.2">
      <c r="A68" t="s">
        <v>27</v>
      </c>
      <c r="B68">
        <v>8</v>
      </c>
      <c r="C68" t="s">
        <v>22</v>
      </c>
      <c r="D68" t="s">
        <v>23</v>
      </c>
      <c r="E68">
        <v>176.101867914199</v>
      </c>
      <c r="F68">
        <v>194</v>
      </c>
    </row>
    <row r="69" spans="1:7" x14ac:dyDescent="0.2">
      <c r="A69" t="s">
        <v>0</v>
      </c>
      <c r="B69" t="s">
        <v>14</v>
      </c>
      <c r="C69" t="s">
        <v>15</v>
      </c>
      <c r="D69" t="s">
        <v>16</v>
      </c>
      <c r="E69" t="s">
        <v>17</v>
      </c>
      <c r="F69" t="s">
        <v>18</v>
      </c>
      <c r="G69" t="s">
        <v>19</v>
      </c>
    </row>
    <row r="70" spans="1:7" x14ac:dyDescent="0.2">
      <c r="A70" t="s">
        <v>27</v>
      </c>
      <c r="B70">
        <v>10</v>
      </c>
      <c r="C70" t="s">
        <v>21</v>
      </c>
      <c r="D70" t="s">
        <v>1</v>
      </c>
      <c r="E70">
        <v>10.8328380584716</v>
      </c>
      <c r="F70">
        <v>14206</v>
      </c>
      <c r="G70">
        <v>647</v>
      </c>
    </row>
    <row r="71" spans="1:7" x14ac:dyDescent="0.2">
      <c r="A71" t="s">
        <v>0</v>
      </c>
      <c r="B71" t="s">
        <v>14</v>
      </c>
      <c r="C71" t="s">
        <v>15</v>
      </c>
      <c r="D71" t="s">
        <v>16</v>
      </c>
      <c r="E71" t="s">
        <v>17</v>
      </c>
    </row>
    <row r="72" spans="1:7" x14ac:dyDescent="0.2">
      <c r="A72" t="s">
        <v>27</v>
      </c>
      <c r="B72">
        <v>10</v>
      </c>
      <c r="C72" t="s">
        <v>22</v>
      </c>
      <c r="D72" t="s">
        <v>23</v>
      </c>
      <c r="E72">
        <v>527.46002602577198</v>
      </c>
      <c r="F72">
        <v>617</v>
      </c>
    </row>
    <row r="73" spans="1:7" x14ac:dyDescent="0.2">
      <c r="A73" t="s">
        <v>0</v>
      </c>
      <c r="B73" t="s">
        <v>14</v>
      </c>
      <c r="C73" t="s">
        <v>15</v>
      </c>
      <c r="D73" t="s">
        <v>16</v>
      </c>
      <c r="E73" t="s">
        <v>17</v>
      </c>
      <c r="F73" t="s">
        <v>18</v>
      </c>
      <c r="G73" t="s">
        <v>19</v>
      </c>
    </row>
    <row r="74" spans="1:7" x14ac:dyDescent="0.2">
      <c r="A74" t="s">
        <v>27</v>
      </c>
      <c r="B74">
        <v>12</v>
      </c>
      <c r="C74" t="s">
        <v>21</v>
      </c>
      <c r="D74" t="s">
        <v>1</v>
      </c>
      <c r="E74">
        <v>0.97715997695922796</v>
      </c>
      <c r="F74">
        <v>2332</v>
      </c>
      <c r="G74">
        <v>22</v>
      </c>
    </row>
    <row r="75" spans="1:7" x14ac:dyDescent="0.2">
      <c r="A75" t="s">
        <v>0</v>
      </c>
      <c r="B75" t="s">
        <v>14</v>
      </c>
      <c r="C75" t="s">
        <v>15</v>
      </c>
      <c r="D75" t="s">
        <v>16</v>
      </c>
      <c r="E75" t="s">
        <v>17</v>
      </c>
    </row>
    <row r="76" spans="1:7" x14ac:dyDescent="0.2">
      <c r="A76" t="s">
        <v>27</v>
      </c>
      <c r="B76">
        <v>12</v>
      </c>
      <c r="C76" t="s">
        <v>22</v>
      </c>
      <c r="D76" t="s">
        <v>23</v>
      </c>
      <c r="E76">
        <v>581.35035705566395</v>
      </c>
      <c r="F76">
        <v>643</v>
      </c>
    </row>
    <row r="77" spans="1:7" x14ac:dyDescent="0.2">
      <c r="A77" t="s">
        <v>0</v>
      </c>
      <c r="B77" t="s">
        <v>14</v>
      </c>
      <c r="C77" t="s">
        <v>15</v>
      </c>
      <c r="D77" t="s">
        <v>16</v>
      </c>
      <c r="E77" t="s">
        <v>17</v>
      </c>
      <c r="F77" t="s">
        <v>18</v>
      </c>
      <c r="G77" t="s">
        <v>19</v>
      </c>
    </row>
    <row r="78" spans="1:7" x14ac:dyDescent="0.2">
      <c r="A78" t="s">
        <v>27</v>
      </c>
      <c r="B78">
        <v>200</v>
      </c>
      <c r="C78" t="s">
        <v>21</v>
      </c>
      <c r="D78" t="s">
        <v>1</v>
      </c>
      <c r="E78">
        <v>0.85931992530822698</v>
      </c>
      <c r="F78">
        <v>2315</v>
      </c>
      <c r="G78">
        <v>22</v>
      </c>
    </row>
    <row r="79" spans="1:7" x14ac:dyDescent="0.2">
      <c r="A79" t="s">
        <v>0</v>
      </c>
      <c r="B79" t="s">
        <v>14</v>
      </c>
      <c r="C79" t="s">
        <v>15</v>
      </c>
      <c r="D79" t="s">
        <v>16</v>
      </c>
      <c r="E79" t="s">
        <v>17</v>
      </c>
    </row>
    <row r="80" spans="1:7" x14ac:dyDescent="0.2">
      <c r="A80" t="s">
        <v>27</v>
      </c>
      <c r="B80">
        <v>200</v>
      </c>
      <c r="C80" t="s">
        <v>22</v>
      </c>
      <c r="D80" t="s">
        <v>23</v>
      </c>
      <c r="E80">
        <v>592.70749092102005</v>
      </c>
      <c r="F80">
        <v>648</v>
      </c>
    </row>
    <row r="81" spans="1:7" x14ac:dyDescent="0.2">
      <c r="A81" t="s">
        <v>0</v>
      </c>
      <c r="B81" t="s">
        <v>14</v>
      </c>
      <c r="C81" t="s">
        <v>15</v>
      </c>
      <c r="D81" t="s">
        <v>16</v>
      </c>
      <c r="E81" t="s">
        <v>17</v>
      </c>
      <c r="F81" t="s">
        <v>18</v>
      </c>
      <c r="G81" t="s">
        <v>19</v>
      </c>
    </row>
    <row r="82" spans="1:7" x14ac:dyDescent="0.2">
      <c r="A82" t="s">
        <v>28</v>
      </c>
      <c r="B82">
        <v>6</v>
      </c>
      <c r="C82" t="s">
        <v>21</v>
      </c>
      <c r="D82" t="s">
        <v>1</v>
      </c>
      <c r="E82">
        <v>0.443790912628173</v>
      </c>
      <c r="F82">
        <v>225</v>
      </c>
      <c r="G82">
        <v>79</v>
      </c>
    </row>
    <row r="83" spans="1:7" x14ac:dyDescent="0.2">
      <c r="A83" t="s">
        <v>0</v>
      </c>
      <c r="B83" t="s">
        <v>14</v>
      </c>
      <c r="C83" t="s">
        <v>15</v>
      </c>
      <c r="D83" t="s">
        <v>16</v>
      </c>
      <c r="E83" t="s">
        <v>17</v>
      </c>
    </row>
    <row r="84" spans="1:7" x14ac:dyDescent="0.2">
      <c r="A84" t="s">
        <v>28</v>
      </c>
      <c r="B84">
        <v>6</v>
      </c>
      <c r="C84" t="s">
        <v>22</v>
      </c>
      <c r="D84" t="s">
        <v>23</v>
      </c>
      <c r="E84">
        <v>33.597038030624297</v>
      </c>
      <c r="F84">
        <v>31</v>
      </c>
    </row>
    <row r="85" spans="1:7" x14ac:dyDescent="0.2">
      <c r="A85" t="s">
        <v>0</v>
      </c>
      <c r="B85" t="s">
        <v>14</v>
      </c>
      <c r="C85" t="s">
        <v>15</v>
      </c>
      <c r="D85" t="s">
        <v>16</v>
      </c>
      <c r="E85" t="s">
        <v>17</v>
      </c>
      <c r="F85" t="s">
        <v>18</v>
      </c>
      <c r="G85" t="s">
        <v>19</v>
      </c>
    </row>
    <row r="86" spans="1:7" x14ac:dyDescent="0.2">
      <c r="A86" t="s">
        <v>28</v>
      </c>
      <c r="B86">
        <v>8</v>
      </c>
      <c r="C86" t="s">
        <v>21</v>
      </c>
      <c r="D86" t="s">
        <v>1</v>
      </c>
      <c r="E86">
        <v>0.65667891502380304</v>
      </c>
      <c r="F86">
        <v>407</v>
      </c>
      <c r="G86">
        <v>112</v>
      </c>
    </row>
    <row r="87" spans="1:7" x14ac:dyDescent="0.2">
      <c r="A87" t="s">
        <v>0</v>
      </c>
      <c r="B87" t="s">
        <v>14</v>
      </c>
      <c r="C87" t="s">
        <v>15</v>
      </c>
      <c r="D87" t="s">
        <v>16</v>
      </c>
      <c r="E87" t="s">
        <v>17</v>
      </c>
    </row>
    <row r="88" spans="1:7" x14ac:dyDescent="0.2">
      <c r="A88" t="s">
        <v>28</v>
      </c>
      <c r="B88">
        <v>8</v>
      </c>
      <c r="C88" t="s">
        <v>22</v>
      </c>
      <c r="D88" t="s">
        <v>23</v>
      </c>
      <c r="E88">
        <v>35.999599933624197</v>
      </c>
      <c r="F88">
        <v>34</v>
      </c>
    </row>
    <row r="89" spans="1:7" x14ac:dyDescent="0.2">
      <c r="A89" t="s">
        <v>0</v>
      </c>
      <c r="B89" t="s">
        <v>14</v>
      </c>
      <c r="C89" t="s">
        <v>15</v>
      </c>
      <c r="D89" t="s">
        <v>16</v>
      </c>
      <c r="E89" t="s">
        <v>17</v>
      </c>
      <c r="F89" t="s">
        <v>18</v>
      </c>
      <c r="G89" t="s">
        <v>19</v>
      </c>
    </row>
    <row r="90" spans="1:7" x14ac:dyDescent="0.2">
      <c r="A90" t="s">
        <v>28</v>
      </c>
      <c r="B90">
        <v>10</v>
      </c>
      <c r="C90" t="s">
        <v>21</v>
      </c>
      <c r="D90" t="s">
        <v>1</v>
      </c>
      <c r="E90">
        <v>2.8587749004364</v>
      </c>
      <c r="F90">
        <v>3577</v>
      </c>
      <c r="G90">
        <v>322</v>
      </c>
    </row>
    <row r="91" spans="1:7" x14ac:dyDescent="0.2">
      <c r="A91" t="s">
        <v>0</v>
      </c>
      <c r="B91" t="s">
        <v>14</v>
      </c>
      <c r="C91" t="s">
        <v>15</v>
      </c>
      <c r="D91" t="s">
        <v>16</v>
      </c>
      <c r="E91" t="s">
        <v>17</v>
      </c>
    </row>
    <row r="92" spans="1:7" x14ac:dyDescent="0.2">
      <c r="A92" t="s">
        <v>28</v>
      </c>
      <c r="B92">
        <v>10</v>
      </c>
      <c r="C92" t="s">
        <v>22</v>
      </c>
      <c r="D92" t="s">
        <v>23</v>
      </c>
      <c r="E92">
        <v>84.975279092788696</v>
      </c>
      <c r="F92">
        <v>79</v>
      </c>
    </row>
    <row r="93" spans="1:7" x14ac:dyDescent="0.2">
      <c r="A93" t="s">
        <v>0</v>
      </c>
      <c r="B93" t="s">
        <v>14</v>
      </c>
      <c r="C93" t="s">
        <v>15</v>
      </c>
      <c r="D93" t="s">
        <v>16</v>
      </c>
      <c r="E93" t="s">
        <v>17</v>
      </c>
      <c r="F93" t="s">
        <v>18</v>
      </c>
      <c r="G93" t="s">
        <v>19</v>
      </c>
    </row>
    <row r="94" spans="1:7" x14ac:dyDescent="0.2">
      <c r="A94" t="s">
        <v>28</v>
      </c>
      <c r="B94">
        <v>12</v>
      </c>
      <c r="C94" t="s">
        <v>21</v>
      </c>
      <c r="D94" t="s">
        <v>1</v>
      </c>
      <c r="E94">
        <v>135.86886215209901</v>
      </c>
      <c r="F94">
        <v>171475</v>
      </c>
      <c r="G94">
        <v>722</v>
      </c>
    </row>
    <row r="95" spans="1:7" x14ac:dyDescent="0.2">
      <c r="A95" t="s">
        <v>0</v>
      </c>
      <c r="B95" t="s">
        <v>14</v>
      </c>
      <c r="C95" t="s">
        <v>15</v>
      </c>
      <c r="D95" t="s">
        <v>16</v>
      </c>
      <c r="E95" t="s">
        <v>17</v>
      </c>
    </row>
    <row r="96" spans="1:7" x14ac:dyDescent="0.2">
      <c r="A96" t="s">
        <v>28</v>
      </c>
      <c r="B96">
        <v>12</v>
      </c>
      <c r="C96" t="s">
        <v>22</v>
      </c>
      <c r="D96" t="s">
        <v>23</v>
      </c>
      <c r="E96">
        <v>600.00413417816105</v>
      </c>
      <c r="F96">
        <v>686</v>
      </c>
    </row>
    <row r="97" spans="1:7" x14ac:dyDescent="0.2">
      <c r="A97" t="s">
        <v>0</v>
      </c>
      <c r="B97" t="s">
        <v>14</v>
      </c>
      <c r="C97" t="s">
        <v>15</v>
      </c>
      <c r="D97" t="s">
        <v>16</v>
      </c>
      <c r="E97" t="s">
        <v>17</v>
      </c>
      <c r="F97" t="s">
        <v>18</v>
      </c>
      <c r="G97" t="s">
        <v>19</v>
      </c>
    </row>
    <row r="98" spans="1:7" x14ac:dyDescent="0.2">
      <c r="A98" t="s">
        <v>28</v>
      </c>
      <c r="B98">
        <v>200</v>
      </c>
      <c r="C98" t="s">
        <v>21</v>
      </c>
      <c r="D98" t="s">
        <v>1</v>
      </c>
      <c r="E98">
        <v>120.410324811935</v>
      </c>
      <c r="F98">
        <v>131127</v>
      </c>
      <c r="G98">
        <v>777</v>
      </c>
    </row>
    <row r="99" spans="1:7" x14ac:dyDescent="0.2">
      <c r="A99" t="s">
        <v>0</v>
      </c>
      <c r="B99" t="s">
        <v>14</v>
      </c>
      <c r="C99" t="s">
        <v>15</v>
      </c>
      <c r="D99" t="s">
        <v>16</v>
      </c>
      <c r="E99" t="s">
        <v>17</v>
      </c>
    </row>
    <row r="100" spans="1:7" x14ac:dyDescent="0.2">
      <c r="A100" t="s">
        <v>28</v>
      </c>
      <c r="B100">
        <v>200</v>
      </c>
      <c r="C100" t="s">
        <v>22</v>
      </c>
      <c r="D100" t="s">
        <v>23</v>
      </c>
      <c r="E100">
        <v>600.00421786308198</v>
      </c>
      <c r="F100">
        <v>818</v>
      </c>
    </row>
    <row r="101" spans="1:7" x14ac:dyDescent="0.2">
      <c r="A101" t="s">
        <v>0</v>
      </c>
      <c r="B101" t="s">
        <v>14</v>
      </c>
      <c r="C101" t="s">
        <v>15</v>
      </c>
      <c r="D101" t="s">
        <v>16</v>
      </c>
      <c r="E101" t="s">
        <v>17</v>
      </c>
      <c r="F101" t="s">
        <v>18</v>
      </c>
      <c r="G101" t="s">
        <v>19</v>
      </c>
    </row>
    <row r="102" spans="1:7" x14ac:dyDescent="0.2">
      <c r="A102" t="s">
        <v>29</v>
      </c>
      <c r="B102">
        <v>6</v>
      </c>
      <c r="C102" t="s">
        <v>21</v>
      </c>
      <c r="D102" t="s">
        <v>1</v>
      </c>
      <c r="E102">
        <v>7.1514599323272696</v>
      </c>
      <c r="F102">
        <v>4635</v>
      </c>
      <c r="G102">
        <v>933</v>
      </c>
    </row>
    <row r="103" spans="1:7" x14ac:dyDescent="0.2">
      <c r="A103" t="s">
        <v>0</v>
      </c>
      <c r="B103" t="s">
        <v>14</v>
      </c>
      <c r="C103" t="s">
        <v>15</v>
      </c>
      <c r="D103" t="s">
        <v>16</v>
      </c>
      <c r="E103" t="s">
        <v>17</v>
      </c>
    </row>
    <row r="104" spans="1:7" x14ac:dyDescent="0.2">
      <c r="A104" t="s">
        <v>29</v>
      </c>
      <c r="B104">
        <v>6</v>
      </c>
      <c r="C104" t="s">
        <v>22</v>
      </c>
      <c r="D104" t="s">
        <v>23</v>
      </c>
      <c r="E104">
        <v>172.223497867584</v>
      </c>
      <c r="F104">
        <v>199</v>
      </c>
    </row>
    <row r="105" spans="1:7" x14ac:dyDescent="0.2">
      <c r="A105" t="s">
        <v>0</v>
      </c>
      <c r="B105" t="s">
        <v>14</v>
      </c>
      <c r="C105" t="s">
        <v>15</v>
      </c>
      <c r="D105" t="s">
        <v>16</v>
      </c>
      <c r="E105" t="s">
        <v>17</v>
      </c>
      <c r="F105" t="s">
        <v>18</v>
      </c>
      <c r="G105" t="s">
        <v>19</v>
      </c>
    </row>
    <row r="106" spans="1:7" x14ac:dyDescent="0.2">
      <c r="A106" t="s">
        <v>29</v>
      </c>
      <c r="B106">
        <v>8</v>
      </c>
      <c r="C106" t="s">
        <v>21</v>
      </c>
      <c r="D106" t="s">
        <v>1</v>
      </c>
      <c r="E106">
        <v>6.0521061420440603</v>
      </c>
      <c r="F106">
        <v>5985</v>
      </c>
      <c r="G106">
        <v>777</v>
      </c>
    </row>
    <row r="107" spans="1:7" x14ac:dyDescent="0.2">
      <c r="A107" t="s">
        <v>0</v>
      </c>
      <c r="B107" t="s">
        <v>14</v>
      </c>
      <c r="C107" t="s">
        <v>15</v>
      </c>
      <c r="D107" t="s">
        <v>16</v>
      </c>
      <c r="E107" t="s">
        <v>17</v>
      </c>
    </row>
    <row r="108" spans="1:7" x14ac:dyDescent="0.2">
      <c r="A108" t="s">
        <v>29</v>
      </c>
      <c r="B108">
        <v>8</v>
      </c>
      <c r="C108" t="s">
        <v>22</v>
      </c>
      <c r="D108" t="s">
        <v>23</v>
      </c>
      <c r="E108">
        <v>112.630229949951</v>
      </c>
      <c r="F108">
        <v>135</v>
      </c>
    </row>
    <row r="109" spans="1:7" x14ac:dyDescent="0.2">
      <c r="A109" t="s">
        <v>0</v>
      </c>
      <c r="B109" t="s">
        <v>14</v>
      </c>
      <c r="C109" t="s">
        <v>15</v>
      </c>
      <c r="D109" t="s">
        <v>16</v>
      </c>
      <c r="E109" t="s">
        <v>17</v>
      </c>
      <c r="F109" t="s">
        <v>18</v>
      </c>
      <c r="G109" t="s">
        <v>19</v>
      </c>
    </row>
    <row r="110" spans="1:7" x14ac:dyDescent="0.2">
      <c r="A110" t="s">
        <v>29</v>
      </c>
      <c r="B110">
        <v>10</v>
      </c>
      <c r="C110" t="s">
        <v>21</v>
      </c>
      <c r="D110" t="s">
        <v>1</v>
      </c>
      <c r="E110">
        <v>2.6412289142608598</v>
      </c>
      <c r="F110">
        <v>2305</v>
      </c>
      <c r="G110">
        <v>283</v>
      </c>
    </row>
    <row r="111" spans="1:7" x14ac:dyDescent="0.2">
      <c r="A111" t="s">
        <v>0</v>
      </c>
      <c r="B111" t="s">
        <v>14</v>
      </c>
      <c r="C111" t="s">
        <v>15</v>
      </c>
      <c r="D111" t="s">
        <v>16</v>
      </c>
      <c r="E111" t="s">
        <v>17</v>
      </c>
    </row>
    <row r="112" spans="1:7" x14ac:dyDescent="0.2">
      <c r="A112" t="s">
        <v>29</v>
      </c>
      <c r="B112">
        <v>10</v>
      </c>
      <c r="C112" t="s">
        <v>22</v>
      </c>
      <c r="D112" t="s">
        <v>23</v>
      </c>
      <c r="E112">
        <v>82.6140811443328</v>
      </c>
      <c r="F112">
        <v>103</v>
      </c>
    </row>
    <row r="113" spans="1:7" x14ac:dyDescent="0.2">
      <c r="A113" t="s">
        <v>0</v>
      </c>
      <c r="B113" t="s">
        <v>14</v>
      </c>
      <c r="C113" t="s">
        <v>15</v>
      </c>
      <c r="D113" t="s">
        <v>16</v>
      </c>
      <c r="E113" t="s">
        <v>17</v>
      </c>
      <c r="F113" t="s">
        <v>18</v>
      </c>
      <c r="G113" t="s">
        <v>19</v>
      </c>
    </row>
    <row r="114" spans="1:7" x14ac:dyDescent="0.2">
      <c r="A114" t="s">
        <v>29</v>
      </c>
      <c r="B114">
        <v>12</v>
      </c>
      <c r="C114" t="s">
        <v>21</v>
      </c>
      <c r="D114" t="s">
        <v>1</v>
      </c>
      <c r="E114">
        <v>1.0798380374908401</v>
      </c>
      <c r="F114">
        <v>1934</v>
      </c>
      <c r="G114">
        <v>81</v>
      </c>
    </row>
    <row r="115" spans="1:7" x14ac:dyDescent="0.2">
      <c r="A115" t="s">
        <v>0</v>
      </c>
      <c r="B115" t="s">
        <v>14</v>
      </c>
      <c r="C115" t="s">
        <v>15</v>
      </c>
      <c r="D115" t="s">
        <v>16</v>
      </c>
      <c r="E115" t="s">
        <v>17</v>
      </c>
    </row>
    <row r="116" spans="1:7" x14ac:dyDescent="0.2">
      <c r="A116" t="s">
        <v>29</v>
      </c>
      <c r="B116">
        <v>12</v>
      </c>
      <c r="C116" t="s">
        <v>22</v>
      </c>
      <c r="D116" t="s">
        <v>23</v>
      </c>
      <c r="E116">
        <v>189.04498696327201</v>
      </c>
      <c r="F116">
        <v>211</v>
      </c>
    </row>
    <row r="117" spans="1:7" x14ac:dyDescent="0.2">
      <c r="A117" t="s">
        <v>0</v>
      </c>
      <c r="B117" t="s">
        <v>14</v>
      </c>
      <c r="C117" t="s">
        <v>15</v>
      </c>
      <c r="D117" t="s">
        <v>16</v>
      </c>
      <c r="E117" t="s">
        <v>17</v>
      </c>
      <c r="F117" t="s">
        <v>18</v>
      </c>
      <c r="G117" t="s">
        <v>19</v>
      </c>
    </row>
    <row r="118" spans="1:7" x14ac:dyDescent="0.2">
      <c r="A118" t="s">
        <v>29</v>
      </c>
      <c r="B118">
        <v>200</v>
      </c>
      <c r="C118" t="s">
        <v>21</v>
      </c>
      <c r="D118" t="s">
        <v>1</v>
      </c>
      <c r="E118">
        <v>1.09727787971496</v>
      </c>
      <c r="F118">
        <v>1737</v>
      </c>
      <c r="G118">
        <v>76</v>
      </c>
    </row>
    <row r="119" spans="1:7" x14ac:dyDescent="0.2">
      <c r="A119" t="s">
        <v>0</v>
      </c>
      <c r="B119" t="s">
        <v>14</v>
      </c>
      <c r="C119" t="s">
        <v>15</v>
      </c>
      <c r="D119" t="s">
        <v>16</v>
      </c>
      <c r="E119" t="s">
        <v>17</v>
      </c>
    </row>
    <row r="120" spans="1:7" x14ac:dyDescent="0.2">
      <c r="A120" t="s">
        <v>29</v>
      </c>
      <c r="B120">
        <v>200</v>
      </c>
      <c r="C120" t="s">
        <v>22</v>
      </c>
      <c r="D120" t="s">
        <v>23</v>
      </c>
      <c r="E120">
        <v>600.00347280502297</v>
      </c>
      <c r="F120">
        <v>700</v>
      </c>
    </row>
    <row r="121" spans="1:7" x14ac:dyDescent="0.2">
      <c r="A121" t="s">
        <v>0</v>
      </c>
      <c r="B121" t="s">
        <v>14</v>
      </c>
      <c r="C121" t="s">
        <v>15</v>
      </c>
      <c r="D121" t="s">
        <v>16</v>
      </c>
      <c r="E121" t="s">
        <v>17</v>
      </c>
      <c r="F121" t="s">
        <v>18</v>
      </c>
      <c r="G121" t="s">
        <v>19</v>
      </c>
    </row>
    <row r="122" spans="1:7" x14ac:dyDescent="0.2">
      <c r="A122" t="s">
        <v>30</v>
      </c>
      <c r="B122">
        <v>6</v>
      </c>
      <c r="C122" t="s">
        <v>21</v>
      </c>
      <c r="D122" t="s">
        <v>1</v>
      </c>
      <c r="E122">
        <v>0.63564300537109297</v>
      </c>
      <c r="F122">
        <v>687</v>
      </c>
      <c r="G122">
        <v>122</v>
      </c>
    </row>
    <row r="123" spans="1:7" x14ac:dyDescent="0.2">
      <c r="A123" t="s">
        <v>0</v>
      </c>
      <c r="B123" t="s">
        <v>14</v>
      </c>
      <c r="C123" t="s">
        <v>15</v>
      </c>
      <c r="D123" t="s">
        <v>16</v>
      </c>
      <c r="E123" t="s">
        <v>17</v>
      </c>
    </row>
    <row r="124" spans="1:7" x14ac:dyDescent="0.2">
      <c r="A124" t="s">
        <v>30</v>
      </c>
      <c r="B124">
        <v>6</v>
      </c>
      <c r="C124" t="s">
        <v>22</v>
      </c>
      <c r="D124" t="s">
        <v>23</v>
      </c>
      <c r="E124">
        <v>112.655122995376</v>
      </c>
      <c r="F124">
        <v>119</v>
      </c>
    </row>
    <row r="125" spans="1:7" x14ac:dyDescent="0.2">
      <c r="A125" t="s">
        <v>0</v>
      </c>
      <c r="B125" t="s">
        <v>14</v>
      </c>
      <c r="C125" t="s">
        <v>15</v>
      </c>
      <c r="D125" t="s">
        <v>16</v>
      </c>
      <c r="E125" t="s">
        <v>17</v>
      </c>
      <c r="F125" t="s">
        <v>18</v>
      </c>
      <c r="G125" t="s">
        <v>19</v>
      </c>
    </row>
    <row r="126" spans="1:7" x14ac:dyDescent="0.2">
      <c r="A126" t="s">
        <v>30</v>
      </c>
      <c r="B126">
        <v>8</v>
      </c>
      <c r="C126" t="s">
        <v>21</v>
      </c>
      <c r="D126" t="s">
        <v>1</v>
      </c>
      <c r="E126">
        <v>0.36471605300903298</v>
      </c>
      <c r="F126">
        <v>431</v>
      </c>
      <c r="G126">
        <v>59</v>
      </c>
    </row>
    <row r="127" spans="1:7" x14ac:dyDescent="0.2">
      <c r="A127" t="s">
        <v>0</v>
      </c>
      <c r="B127" t="s">
        <v>14</v>
      </c>
      <c r="C127" t="s">
        <v>15</v>
      </c>
      <c r="D127" t="s">
        <v>16</v>
      </c>
      <c r="E127" t="s">
        <v>17</v>
      </c>
    </row>
    <row r="128" spans="1:7" x14ac:dyDescent="0.2">
      <c r="A128" t="s">
        <v>30</v>
      </c>
      <c r="B128">
        <v>8</v>
      </c>
      <c r="C128" t="s">
        <v>22</v>
      </c>
      <c r="D128" t="s">
        <v>23</v>
      </c>
      <c r="E128">
        <v>59.568320989608701</v>
      </c>
      <c r="F128">
        <v>65</v>
      </c>
    </row>
    <row r="129" spans="1:7" x14ac:dyDescent="0.2">
      <c r="A129" t="s">
        <v>0</v>
      </c>
      <c r="B129" t="s">
        <v>14</v>
      </c>
      <c r="C129" t="s">
        <v>15</v>
      </c>
      <c r="D129" t="s">
        <v>16</v>
      </c>
      <c r="E129" t="s">
        <v>17</v>
      </c>
      <c r="F129" t="s">
        <v>18</v>
      </c>
      <c r="G129" t="s">
        <v>19</v>
      </c>
    </row>
    <row r="130" spans="1:7" x14ac:dyDescent="0.2">
      <c r="A130" t="s">
        <v>30</v>
      </c>
      <c r="B130">
        <v>10</v>
      </c>
      <c r="C130" t="s">
        <v>21</v>
      </c>
      <c r="D130" t="s">
        <v>1</v>
      </c>
      <c r="E130">
        <v>2.2123610973358101</v>
      </c>
      <c r="F130">
        <v>3570</v>
      </c>
      <c r="G130">
        <v>216</v>
      </c>
    </row>
    <row r="131" spans="1:7" x14ac:dyDescent="0.2">
      <c r="A131" t="s">
        <v>0</v>
      </c>
      <c r="B131" t="s">
        <v>14</v>
      </c>
      <c r="C131" t="s">
        <v>15</v>
      </c>
      <c r="D131" t="s">
        <v>16</v>
      </c>
      <c r="E131" t="s">
        <v>17</v>
      </c>
    </row>
    <row r="132" spans="1:7" x14ac:dyDescent="0.2">
      <c r="A132" t="s">
        <v>30</v>
      </c>
      <c r="B132">
        <v>10</v>
      </c>
      <c r="C132" t="s">
        <v>22</v>
      </c>
      <c r="D132" t="s">
        <v>23</v>
      </c>
      <c r="E132">
        <v>83.509018898010197</v>
      </c>
      <c r="F132">
        <v>75</v>
      </c>
    </row>
    <row r="133" spans="1:7" x14ac:dyDescent="0.2">
      <c r="A133" t="s">
        <v>0</v>
      </c>
      <c r="B133" t="s">
        <v>14</v>
      </c>
      <c r="C133" t="s">
        <v>15</v>
      </c>
      <c r="D133" t="s">
        <v>16</v>
      </c>
      <c r="E133" t="s">
        <v>17</v>
      </c>
      <c r="F133" t="s">
        <v>18</v>
      </c>
      <c r="G133" t="s">
        <v>19</v>
      </c>
    </row>
    <row r="134" spans="1:7" x14ac:dyDescent="0.2">
      <c r="A134" t="s">
        <v>30</v>
      </c>
      <c r="B134">
        <v>12</v>
      </c>
      <c r="C134" t="s">
        <v>21</v>
      </c>
      <c r="D134" t="s">
        <v>1</v>
      </c>
      <c r="E134">
        <v>12.0328028202056</v>
      </c>
      <c r="F134">
        <v>15002</v>
      </c>
      <c r="G134">
        <v>76</v>
      </c>
    </row>
    <row r="135" spans="1:7" x14ac:dyDescent="0.2">
      <c r="A135" t="s">
        <v>0</v>
      </c>
      <c r="B135" t="s">
        <v>14</v>
      </c>
      <c r="C135" t="s">
        <v>15</v>
      </c>
      <c r="D135" t="s">
        <v>16</v>
      </c>
      <c r="E135" t="s">
        <v>17</v>
      </c>
    </row>
    <row r="136" spans="1:7" x14ac:dyDescent="0.2">
      <c r="A136" t="s">
        <v>30</v>
      </c>
      <c r="B136">
        <v>12</v>
      </c>
      <c r="C136" t="s">
        <v>22</v>
      </c>
      <c r="D136" t="s">
        <v>23</v>
      </c>
      <c r="E136">
        <v>600.005925893783</v>
      </c>
      <c r="F136">
        <v>648</v>
      </c>
    </row>
    <row r="137" spans="1:7" x14ac:dyDescent="0.2">
      <c r="A137" t="s">
        <v>0</v>
      </c>
      <c r="B137" t="s">
        <v>14</v>
      </c>
      <c r="C137" t="s">
        <v>15</v>
      </c>
      <c r="D137" t="s">
        <v>16</v>
      </c>
      <c r="E137" t="s">
        <v>17</v>
      </c>
      <c r="F137" t="s">
        <v>18</v>
      </c>
      <c r="G137" t="s">
        <v>19</v>
      </c>
    </row>
    <row r="138" spans="1:7" x14ac:dyDescent="0.2">
      <c r="A138" t="s">
        <v>30</v>
      </c>
      <c r="B138">
        <v>200</v>
      </c>
      <c r="C138" t="s">
        <v>21</v>
      </c>
      <c r="D138" t="s">
        <v>1</v>
      </c>
      <c r="E138">
        <v>8.7697160243988002</v>
      </c>
      <c r="F138">
        <v>12926</v>
      </c>
      <c r="G138">
        <v>72</v>
      </c>
    </row>
    <row r="139" spans="1:7" x14ac:dyDescent="0.2">
      <c r="A139" t="s">
        <v>0</v>
      </c>
      <c r="B139" t="s">
        <v>14</v>
      </c>
      <c r="C139" t="s">
        <v>15</v>
      </c>
      <c r="D139" t="s">
        <v>16</v>
      </c>
      <c r="E139" t="s">
        <v>17</v>
      </c>
    </row>
    <row r="140" spans="1:7" x14ac:dyDescent="0.2">
      <c r="A140" t="s">
        <v>30</v>
      </c>
      <c r="B140">
        <v>200</v>
      </c>
      <c r="C140" t="s">
        <v>22</v>
      </c>
      <c r="D140" t="s">
        <v>23</v>
      </c>
      <c r="E140">
        <v>600.00525999069202</v>
      </c>
      <c r="F140">
        <v>802</v>
      </c>
    </row>
    <row r="141" spans="1:7" x14ac:dyDescent="0.2">
      <c r="A141" t="s">
        <v>0</v>
      </c>
      <c r="B141" t="s">
        <v>14</v>
      </c>
      <c r="C141" t="s">
        <v>15</v>
      </c>
      <c r="D141" t="s">
        <v>16</v>
      </c>
      <c r="E141" t="s">
        <v>17</v>
      </c>
      <c r="F141" t="s">
        <v>18</v>
      </c>
      <c r="G141" t="s">
        <v>19</v>
      </c>
    </row>
    <row r="142" spans="1:7" x14ac:dyDescent="0.2">
      <c r="A142" t="s">
        <v>31</v>
      </c>
      <c r="B142">
        <v>6</v>
      </c>
      <c r="C142" t="s">
        <v>21</v>
      </c>
      <c r="D142" t="s">
        <v>1</v>
      </c>
      <c r="E142">
        <v>0.19744014739990201</v>
      </c>
      <c r="F142">
        <v>97</v>
      </c>
      <c r="G142">
        <v>43</v>
      </c>
    </row>
    <row r="143" spans="1:7" x14ac:dyDescent="0.2">
      <c r="A143" t="s">
        <v>0</v>
      </c>
      <c r="B143" t="s">
        <v>14</v>
      </c>
      <c r="C143" t="s">
        <v>15</v>
      </c>
      <c r="D143" t="s">
        <v>16</v>
      </c>
      <c r="E143" t="s">
        <v>17</v>
      </c>
    </row>
    <row r="144" spans="1:7" x14ac:dyDescent="0.2">
      <c r="A144" t="s">
        <v>31</v>
      </c>
      <c r="B144">
        <v>6</v>
      </c>
      <c r="C144" t="s">
        <v>22</v>
      </c>
      <c r="D144" t="s">
        <v>23</v>
      </c>
      <c r="E144">
        <v>20.5459849834442</v>
      </c>
      <c r="F144">
        <v>19</v>
      </c>
    </row>
    <row r="145" spans="1:7" x14ac:dyDescent="0.2">
      <c r="A145" t="s">
        <v>0</v>
      </c>
      <c r="B145" t="s">
        <v>14</v>
      </c>
      <c r="C145" t="s">
        <v>15</v>
      </c>
      <c r="D145" t="s">
        <v>16</v>
      </c>
      <c r="E145" t="s">
        <v>17</v>
      </c>
      <c r="F145" t="s">
        <v>18</v>
      </c>
      <c r="G145" t="s">
        <v>19</v>
      </c>
    </row>
    <row r="146" spans="1:7" x14ac:dyDescent="0.2">
      <c r="A146" t="s">
        <v>31</v>
      </c>
      <c r="B146">
        <v>8</v>
      </c>
      <c r="C146" t="s">
        <v>21</v>
      </c>
      <c r="D146" t="s">
        <v>1</v>
      </c>
      <c r="E146">
        <v>0.357752084732055</v>
      </c>
      <c r="F146">
        <v>199</v>
      </c>
      <c r="G146">
        <v>68</v>
      </c>
    </row>
    <row r="147" spans="1:7" x14ac:dyDescent="0.2">
      <c r="A147" t="s">
        <v>0</v>
      </c>
      <c r="B147" t="s">
        <v>14</v>
      </c>
      <c r="C147" t="s">
        <v>15</v>
      </c>
      <c r="D147" t="s">
        <v>16</v>
      </c>
      <c r="E147" t="s">
        <v>17</v>
      </c>
    </row>
    <row r="148" spans="1:7" x14ac:dyDescent="0.2">
      <c r="A148" t="s">
        <v>31</v>
      </c>
      <c r="B148">
        <v>8</v>
      </c>
      <c r="C148" t="s">
        <v>22</v>
      </c>
      <c r="D148" t="s">
        <v>23</v>
      </c>
      <c r="E148">
        <v>32.895517826080301</v>
      </c>
      <c r="F148">
        <v>30</v>
      </c>
    </row>
    <row r="149" spans="1:7" x14ac:dyDescent="0.2">
      <c r="A149" t="s">
        <v>0</v>
      </c>
      <c r="B149" t="s">
        <v>14</v>
      </c>
      <c r="C149" t="s">
        <v>15</v>
      </c>
      <c r="D149" t="s">
        <v>16</v>
      </c>
      <c r="E149" t="s">
        <v>17</v>
      </c>
      <c r="F149" t="s">
        <v>18</v>
      </c>
      <c r="G149" t="s">
        <v>19</v>
      </c>
    </row>
    <row r="150" spans="1:7" x14ac:dyDescent="0.2">
      <c r="A150" t="s">
        <v>31</v>
      </c>
      <c r="B150">
        <v>10</v>
      </c>
      <c r="C150" t="s">
        <v>21</v>
      </c>
      <c r="D150" t="s">
        <v>1</v>
      </c>
      <c r="E150">
        <v>3.2129130363464302</v>
      </c>
      <c r="F150">
        <v>3635</v>
      </c>
      <c r="G150">
        <v>295</v>
      </c>
    </row>
    <row r="151" spans="1:7" x14ac:dyDescent="0.2">
      <c r="A151" t="s">
        <v>0</v>
      </c>
      <c r="B151" t="s">
        <v>14</v>
      </c>
      <c r="C151" t="s">
        <v>15</v>
      </c>
      <c r="D151" t="s">
        <v>16</v>
      </c>
      <c r="E151" t="s">
        <v>17</v>
      </c>
    </row>
    <row r="152" spans="1:7" x14ac:dyDescent="0.2">
      <c r="A152" t="s">
        <v>31</v>
      </c>
      <c r="B152">
        <v>10</v>
      </c>
      <c r="C152" t="s">
        <v>22</v>
      </c>
      <c r="D152" t="s">
        <v>23</v>
      </c>
      <c r="E152">
        <v>40.552526950836103</v>
      </c>
      <c r="F152">
        <v>37</v>
      </c>
    </row>
    <row r="153" spans="1:7" x14ac:dyDescent="0.2">
      <c r="A153" t="s">
        <v>0</v>
      </c>
      <c r="B153" t="s">
        <v>14</v>
      </c>
      <c r="C153" t="s">
        <v>15</v>
      </c>
      <c r="D153" t="s">
        <v>16</v>
      </c>
      <c r="E153" t="s">
        <v>17</v>
      </c>
      <c r="F153" t="s">
        <v>18</v>
      </c>
      <c r="G153" t="s">
        <v>19</v>
      </c>
    </row>
    <row r="154" spans="1:7" x14ac:dyDescent="0.2">
      <c r="A154" t="s">
        <v>31</v>
      </c>
      <c r="B154">
        <v>12</v>
      </c>
      <c r="C154" t="s">
        <v>21</v>
      </c>
      <c r="D154" t="s">
        <v>1</v>
      </c>
      <c r="E154">
        <v>96.286812067031804</v>
      </c>
      <c r="F154">
        <v>82403</v>
      </c>
      <c r="G154">
        <v>581</v>
      </c>
    </row>
    <row r="155" spans="1:7" x14ac:dyDescent="0.2">
      <c r="A155" t="s">
        <v>0</v>
      </c>
      <c r="B155" t="s">
        <v>14</v>
      </c>
      <c r="C155" t="s">
        <v>15</v>
      </c>
      <c r="D155" t="s">
        <v>16</v>
      </c>
      <c r="E155" t="s">
        <v>17</v>
      </c>
    </row>
    <row r="156" spans="1:7" x14ac:dyDescent="0.2">
      <c r="A156" t="s">
        <v>31</v>
      </c>
      <c r="B156">
        <v>12</v>
      </c>
      <c r="C156" t="s">
        <v>22</v>
      </c>
      <c r="D156" t="s">
        <v>23</v>
      </c>
      <c r="E156">
        <v>185.182624101638</v>
      </c>
      <c r="F156">
        <v>200</v>
      </c>
    </row>
    <row r="157" spans="1:7" x14ac:dyDescent="0.2">
      <c r="A157" t="s">
        <v>0</v>
      </c>
      <c r="B157" t="s">
        <v>14</v>
      </c>
      <c r="C157" t="s">
        <v>15</v>
      </c>
      <c r="D157" t="s">
        <v>16</v>
      </c>
      <c r="E157" t="s">
        <v>17</v>
      </c>
      <c r="F157" t="s">
        <v>18</v>
      </c>
      <c r="G157" t="s">
        <v>19</v>
      </c>
    </row>
    <row r="158" spans="1:7" x14ac:dyDescent="0.2">
      <c r="A158" t="s">
        <v>31</v>
      </c>
      <c r="B158">
        <v>200</v>
      </c>
      <c r="C158" t="s">
        <v>21</v>
      </c>
      <c r="D158" t="s">
        <v>1</v>
      </c>
      <c r="E158">
        <v>45.6830699443817</v>
      </c>
      <c r="F158">
        <v>66786</v>
      </c>
      <c r="G158">
        <v>574</v>
      </c>
    </row>
    <row r="159" spans="1:7" x14ac:dyDescent="0.2">
      <c r="A159" t="s">
        <v>0</v>
      </c>
      <c r="B159" t="s">
        <v>14</v>
      </c>
      <c r="C159" t="s">
        <v>15</v>
      </c>
      <c r="D159" t="s">
        <v>16</v>
      </c>
      <c r="E159" t="s">
        <v>17</v>
      </c>
    </row>
    <row r="160" spans="1:7" x14ac:dyDescent="0.2">
      <c r="A160" t="s">
        <v>31</v>
      </c>
      <c r="B160">
        <v>200</v>
      </c>
      <c r="C160" t="s">
        <v>22</v>
      </c>
      <c r="D160" t="s">
        <v>23</v>
      </c>
      <c r="E160">
        <v>600.00392603874195</v>
      </c>
      <c r="F160">
        <v>964</v>
      </c>
    </row>
    <row r="161" spans="1:7" x14ac:dyDescent="0.2">
      <c r="A161" t="s">
        <v>0</v>
      </c>
      <c r="B161" t="s">
        <v>14</v>
      </c>
      <c r="C161" t="s">
        <v>15</v>
      </c>
      <c r="D161" t="s">
        <v>16</v>
      </c>
      <c r="E161" t="s">
        <v>17</v>
      </c>
      <c r="F161" t="s">
        <v>18</v>
      </c>
      <c r="G161" t="s">
        <v>19</v>
      </c>
    </row>
    <row r="162" spans="1:7" x14ac:dyDescent="0.2">
      <c r="A162" t="s">
        <v>32</v>
      </c>
      <c r="B162">
        <v>6</v>
      </c>
      <c r="C162" t="s">
        <v>21</v>
      </c>
      <c r="D162" t="s">
        <v>1</v>
      </c>
      <c r="E162">
        <v>2.6005330085754301</v>
      </c>
      <c r="F162">
        <v>2404</v>
      </c>
      <c r="G162">
        <v>390</v>
      </c>
    </row>
    <row r="163" spans="1:7" x14ac:dyDescent="0.2">
      <c r="A163" t="s">
        <v>0</v>
      </c>
      <c r="B163" t="s">
        <v>14</v>
      </c>
      <c r="C163" t="s">
        <v>15</v>
      </c>
      <c r="D163" t="s">
        <v>16</v>
      </c>
      <c r="E163" t="s">
        <v>17</v>
      </c>
    </row>
    <row r="164" spans="1:7" x14ac:dyDescent="0.2">
      <c r="A164" t="s">
        <v>32</v>
      </c>
      <c r="B164">
        <v>6</v>
      </c>
      <c r="C164" t="s">
        <v>22</v>
      </c>
      <c r="D164" t="s">
        <v>23</v>
      </c>
      <c r="E164">
        <v>79.607216835021902</v>
      </c>
      <c r="F164">
        <v>91</v>
      </c>
    </row>
    <row r="165" spans="1:7" x14ac:dyDescent="0.2">
      <c r="A165" t="s">
        <v>0</v>
      </c>
      <c r="B165" t="s">
        <v>14</v>
      </c>
      <c r="C165" t="s">
        <v>15</v>
      </c>
      <c r="D165" t="s">
        <v>16</v>
      </c>
      <c r="E165" t="s">
        <v>17</v>
      </c>
      <c r="F165" t="s">
        <v>18</v>
      </c>
      <c r="G165" t="s">
        <v>19</v>
      </c>
    </row>
    <row r="166" spans="1:7" x14ac:dyDescent="0.2">
      <c r="A166" t="s">
        <v>32</v>
      </c>
      <c r="B166">
        <v>8</v>
      </c>
      <c r="C166" t="s">
        <v>21</v>
      </c>
      <c r="D166" t="s">
        <v>1</v>
      </c>
      <c r="E166">
        <v>5.6233530044555602</v>
      </c>
      <c r="F166">
        <v>5052</v>
      </c>
      <c r="G166">
        <v>657</v>
      </c>
    </row>
    <row r="167" spans="1:7" x14ac:dyDescent="0.2">
      <c r="A167" t="s">
        <v>0</v>
      </c>
      <c r="B167" t="s">
        <v>14</v>
      </c>
      <c r="C167" t="s">
        <v>15</v>
      </c>
      <c r="D167" t="s">
        <v>16</v>
      </c>
      <c r="E167" t="s">
        <v>17</v>
      </c>
    </row>
    <row r="168" spans="1:7" x14ac:dyDescent="0.2">
      <c r="A168" t="s">
        <v>32</v>
      </c>
      <c r="B168">
        <v>8</v>
      </c>
      <c r="C168" t="s">
        <v>22</v>
      </c>
      <c r="D168" t="s">
        <v>23</v>
      </c>
      <c r="E168">
        <v>108.126107931137</v>
      </c>
      <c r="F168">
        <v>136</v>
      </c>
    </row>
    <row r="169" spans="1:7" x14ac:dyDescent="0.2">
      <c r="A169" t="s">
        <v>0</v>
      </c>
      <c r="B169" t="s">
        <v>14</v>
      </c>
      <c r="C169" t="s">
        <v>15</v>
      </c>
      <c r="D169" t="s">
        <v>16</v>
      </c>
      <c r="E169" t="s">
        <v>17</v>
      </c>
      <c r="F169" t="s">
        <v>18</v>
      </c>
      <c r="G169" t="s">
        <v>19</v>
      </c>
    </row>
    <row r="170" spans="1:7" x14ac:dyDescent="0.2">
      <c r="A170" t="s">
        <v>32</v>
      </c>
      <c r="B170">
        <v>10</v>
      </c>
      <c r="C170" t="s">
        <v>21</v>
      </c>
      <c r="D170" t="s">
        <v>1</v>
      </c>
      <c r="E170">
        <v>3.7555148601531898</v>
      </c>
      <c r="F170">
        <v>3582</v>
      </c>
      <c r="G170">
        <v>403</v>
      </c>
    </row>
    <row r="171" spans="1:7" x14ac:dyDescent="0.2">
      <c r="A171" t="s">
        <v>0</v>
      </c>
      <c r="B171" t="s">
        <v>14</v>
      </c>
      <c r="C171" t="s">
        <v>15</v>
      </c>
      <c r="D171" t="s">
        <v>16</v>
      </c>
      <c r="E171" t="s">
        <v>17</v>
      </c>
    </row>
    <row r="172" spans="1:7" x14ac:dyDescent="0.2">
      <c r="A172" t="s">
        <v>32</v>
      </c>
      <c r="B172">
        <v>10</v>
      </c>
      <c r="C172" t="s">
        <v>22</v>
      </c>
      <c r="D172" t="s">
        <v>23</v>
      </c>
      <c r="E172">
        <v>65.213815927505493</v>
      </c>
      <c r="F172">
        <v>82</v>
      </c>
    </row>
    <row r="173" spans="1:7" x14ac:dyDescent="0.2">
      <c r="A173" t="s">
        <v>0</v>
      </c>
      <c r="B173" t="s">
        <v>14</v>
      </c>
      <c r="C173" t="s">
        <v>15</v>
      </c>
      <c r="D173" t="s">
        <v>16</v>
      </c>
      <c r="E173" t="s">
        <v>17</v>
      </c>
      <c r="F173" t="s">
        <v>18</v>
      </c>
      <c r="G173" t="s">
        <v>19</v>
      </c>
    </row>
    <row r="174" spans="1:7" x14ac:dyDescent="0.2">
      <c r="A174" t="s">
        <v>32</v>
      </c>
      <c r="B174">
        <v>12</v>
      </c>
      <c r="C174" t="s">
        <v>21</v>
      </c>
      <c r="D174" t="s">
        <v>1</v>
      </c>
      <c r="E174">
        <v>1.9757871627807599</v>
      </c>
      <c r="F174">
        <v>2535</v>
      </c>
      <c r="G174">
        <v>147</v>
      </c>
    </row>
    <row r="175" spans="1:7" x14ac:dyDescent="0.2">
      <c r="A175" t="s">
        <v>0</v>
      </c>
      <c r="B175" t="s">
        <v>14</v>
      </c>
      <c r="C175" t="s">
        <v>15</v>
      </c>
      <c r="D175" t="s">
        <v>16</v>
      </c>
      <c r="E175" t="s">
        <v>17</v>
      </c>
    </row>
    <row r="176" spans="1:7" x14ac:dyDescent="0.2">
      <c r="A176" t="s">
        <v>32</v>
      </c>
      <c r="B176">
        <v>12</v>
      </c>
      <c r="C176" t="s">
        <v>22</v>
      </c>
      <c r="D176" t="s">
        <v>23</v>
      </c>
      <c r="E176">
        <v>23.7034430503845</v>
      </c>
      <c r="F176">
        <v>23</v>
      </c>
    </row>
    <row r="177" spans="1:7" x14ac:dyDescent="0.2">
      <c r="A177" t="s">
        <v>0</v>
      </c>
      <c r="B177" t="s">
        <v>14</v>
      </c>
      <c r="C177" t="s">
        <v>15</v>
      </c>
      <c r="D177" t="s">
        <v>16</v>
      </c>
      <c r="E177" t="s">
        <v>17</v>
      </c>
      <c r="F177" t="s">
        <v>18</v>
      </c>
      <c r="G177" t="s">
        <v>19</v>
      </c>
    </row>
    <row r="178" spans="1:7" x14ac:dyDescent="0.2">
      <c r="A178" t="s">
        <v>32</v>
      </c>
      <c r="B178">
        <v>200</v>
      </c>
      <c r="C178" t="s">
        <v>21</v>
      </c>
      <c r="D178" t="s">
        <v>1</v>
      </c>
      <c r="E178">
        <v>1.96163702011108</v>
      </c>
      <c r="F178">
        <v>2473</v>
      </c>
      <c r="G178">
        <v>148</v>
      </c>
    </row>
    <row r="179" spans="1:7" x14ac:dyDescent="0.2">
      <c r="A179" t="s">
        <v>0</v>
      </c>
      <c r="B179" t="s">
        <v>14</v>
      </c>
      <c r="C179" t="s">
        <v>15</v>
      </c>
      <c r="D179" t="s">
        <v>16</v>
      </c>
      <c r="E179" t="s">
        <v>17</v>
      </c>
    </row>
    <row r="180" spans="1:7" x14ac:dyDescent="0.2">
      <c r="A180" t="s">
        <v>32</v>
      </c>
      <c r="B180">
        <v>200</v>
      </c>
      <c r="C180" t="s">
        <v>22</v>
      </c>
      <c r="D180" t="s">
        <v>23</v>
      </c>
      <c r="E180">
        <v>600.00408601760796</v>
      </c>
      <c r="F180">
        <v>675</v>
      </c>
    </row>
    <row r="181" spans="1:7" x14ac:dyDescent="0.2">
      <c r="A181" t="s">
        <v>0</v>
      </c>
      <c r="B181" t="s">
        <v>14</v>
      </c>
      <c r="C181" t="s">
        <v>15</v>
      </c>
      <c r="D181" t="s">
        <v>16</v>
      </c>
      <c r="E181" t="s">
        <v>17</v>
      </c>
      <c r="F181" t="s">
        <v>18</v>
      </c>
      <c r="G181" t="s">
        <v>19</v>
      </c>
    </row>
    <row r="182" spans="1:7" x14ac:dyDescent="0.2">
      <c r="A182" t="s">
        <v>33</v>
      </c>
      <c r="B182">
        <v>6</v>
      </c>
      <c r="C182" t="s">
        <v>21</v>
      </c>
      <c r="D182" t="s">
        <v>1</v>
      </c>
      <c r="E182">
        <v>1.20407319068908</v>
      </c>
      <c r="F182">
        <v>1122</v>
      </c>
      <c r="G182">
        <v>226</v>
      </c>
    </row>
    <row r="183" spans="1:7" x14ac:dyDescent="0.2">
      <c r="A183" t="s">
        <v>0</v>
      </c>
      <c r="B183" t="s">
        <v>14</v>
      </c>
      <c r="C183" t="s">
        <v>15</v>
      </c>
      <c r="D183" t="s">
        <v>16</v>
      </c>
      <c r="E183" t="s">
        <v>17</v>
      </c>
    </row>
    <row r="184" spans="1:7" x14ac:dyDescent="0.2">
      <c r="A184" t="s">
        <v>33</v>
      </c>
      <c r="B184">
        <v>6</v>
      </c>
      <c r="C184" t="s">
        <v>22</v>
      </c>
      <c r="D184" t="s">
        <v>23</v>
      </c>
      <c r="E184">
        <v>63.011338949203399</v>
      </c>
      <c r="F184">
        <v>73</v>
      </c>
    </row>
    <row r="185" spans="1:7" x14ac:dyDescent="0.2">
      <c r="A185" t="s">
        <v>0</v>
      </c>
      <c r="B185" t="s">
        <v>14</v>
      </c>
      <c r="C185" t="s">
        <v>15</v>
      </c>
      <c r="D185" t="s">
        <v>16</v>
      </c>
      <c r="E185" t="s">
        <v>17</v>
      </c>
      <c r="F185" t="s">
        <v>18</v>
      </c>
      <c r="G185" t="s">
        <v>19</v>
      </c>
    </row>
    <row r="186" spans="1:7" x14ac:dyDescent="0.2">
      <c r="A186" t="s">
        <v>33</v>
      </c>
      <c r="B186">
        <v>8</v>
      </c>
      <c r="C186" t="s">
        <v>21</v>
      </c>
      <c r="D186" t="s">
        <v>1</v>
      </c>
      <c r="E186">
        <v>1.62022805213928</v>
      </c>
      <c r="F186">
        <v>1599</v>
      </c>
      <c r="G186">
        <v>242</v>
      </c>
    </row>
    <row r="187" spans="1:7" x14ac:dyDescent="0.2">
      <c r="A187" t="s">
        <v>0</v>
      </c>
      <c r="B187" t="s">
        <v>14</v>
      </c>
      <c r="C187" t="s">
        <v>15</v>
      </c>
      <c r="D187" t="s">
        <v>16</v>
      </c>
      <c r="E187" t="s">
        <v>17</v>
      </c>
    </row>
    <row r="188" spans="1:7" x14ac:dyDescent="0.2">
      <c r="A188" t="s">
        <v>33</v>
      </c>
      <c r="B188">
        <v>8</v>
      </c>
      <c r="C188" t="s">
        <v>22</v>
      </c>
      <c r="D188" t="s">
        <v>23</v>
      </c>
      <c r="E188">
        <v>56.536921024322503</v>
      </c>
      <c r="F188">
        <v>61</v>
      </c>
    </row>
    <row r="189" spans="1:7" x14ac:dyDescent="0.2">
      <c r="A189" t="s">
        <v>0</v>
      </c>
      <c r="B189" t="s">
        <v>14</v>
      </c>
      <c r="C189" t="s">
        <v>15</v>
      </c>
      <c r="D189" t="s">
        <v>16</v>
      </c>
      <c r="E189" t="s">
        <v>17</v>
      </c>
      <c r="F189" t="s">
        <v>18</v>
      </c>
      <c r="G189" t="s">
        <v>19</v>
      </c>
    </row>
    <row r="190" spans="1:7" x14ac:dyDescent="0.2">
      <c r="A190" t="s">
        <v>33</v>
      </c>
      <c r="B190">
        <v>10</v>
      </c>
      <c r="C190" t="s">
        <v>21</v>
      </c>
      <c r="D190" t="s">
        <v>1</v>
      </c>
      <c r="E190">
        <v>36.508350849151597</v>
      </c>
      <c r="F190">
        <v>25449</v>
      </c>
      <c r="G190">
        <v>1771</v>
      </c>
    </row>
    <row r="191" spans="1:7" x14ac:dyDescent="0.2">
      <c r="A191" t="s">
        <v>0</v>
      </c>
      <c r="B191" t="s">
        <v>14</v>
      </c>
      <c r="C191" t="s">
        <v>15</v>
      </c>
      <c r="D191" t="s">
        <v>16</v>
      </c>
      <c r="E191" t="s">
        <v>17</v>
      </c>
    </row>
    <row r="192" spans="1:7" x14ac:dyDescent="0.2">
      <c r="A192" t="s">
        <v>33</v>
      </c>
      <c r="B192">
        <v>10</v>
      </c>
      <c r="C192" t="s">
        <v>22</v>
      </c>
      <c r="D192" t="s">
        <v>23</v>
      </c>
      <c r="E192">
        <v>179.957571983337</v>
      </c>
      <c r="F192">
        <v>232</v>
      </c>
    </row>
    <row r="193" spans="1:7" x14ac:dyDescent="0.2">
      <c r="A193" t="s">
        <v>0</v>
      </c>
      <c r="B193" t="s">
        <v>14</v>
      </c>
      <c r="C193" t="s">
        <v>15</v>
      </c>
      <c r="D193" t="s">
        <v>16</v>
      </c>
      <c r="E193" t="s">
        <v>17</v>
      </c>
      <c r="F193" t="s">
        <v>18</v>
      </c>
      <c r="G193" t="s">
        <v>19</v>
      </c>
    </row>
    <row r="194" spans="1:7" x14ac:dyDescent="0.2">
      <c r="A194" t="s">
        <v>33</v>
      </c>
      <c r="B194">
        <v>12</v>
      </c>
      <c r="C194" t="s">
        <v>21</v>
      </c>
      <c r="D194" t="s">
        <v>1</v>
      </c>
      <c r="E194">
        <v>3.7959690093994101</v>
      </c>
      <c r="F194">
        <v>5711</v>
      </c>
      <c r="G194">
        <v>211</v>
      </c>
    </row>
    <row r="195" spans="1:7" x14ac:dyDescent="0.2">
      <c r="A195" t="s">
        <v>0</v>
      </c>
      <c r="B195" t="s">
        <v>14</v>
      </c>
      <c r="C195" t="s">
        <v>15</v>
      </c>
      <c r="D195" t="s">
        <v>16</v>
      </c>
      <c r="E195" t="s">
        <v>17</v>
      </c>
    </row>
    <row r="196" spans="1:7" x14ac:dyDescent="0.2">
      <c r="A196" t="s">
        <v>33</v>
      </c>
      <c r="B196">
        <v>12</v>
      </c>
      <c r="C196" t="s">
        <v>22</v>
      </c>
      <c r="D196" t="s">
        <v>23</v>
      </c>
      <c r="E196">
        <v>20.484612941741901</v>
      </c>
      <c r="F196">
        <v>25</v>
      </c>
    </row>
    <row r="197" spans="1:7" x14ac:dyDescent="0.2">
      <c r="A197" t="s">
        <v>0</v>
      </c>
      <c r="B197" t="s">
        <v>14</v>
      </c>
      <c r="C197" t="s">
        <v>15</v>
      </c>
      <c r="D197" t="s">
        <v>16</v>
      </c>
      <c r="E197" t="s">
        <v>17</v>
      </c>
      <c r="F197" t="s">
        <v>18</v>
      </c>
      <c r="G197" t="s">
        <v>19</v>
      </c>
    </row>
    <row r="198" spans="1:7" x14ac:dyDescent="0.2">
      <c r="A198" t="s">
        <v>33</v>
      </c>
      <c r="B198">
        <v>200</v>
      </c>
      <c r="C198" t="s">
        <v>21</v>
      </c>
      <c r="D198" t="s">
        <v>1</v>
      </c>
      <c r="E198">
        <v>4.7483870983123699</v>
      </c>
      <c r="F198">
        <v>7010</v>
      </c>
      <c r="G198">
        <v>230</v>
      </c>
    </row>
    <row r="199" spans="1:7" x14ac:dyDescent="0.2">
      <c r="A199" t="s">
        <v>0</v>
      </c>
      <c r="B199" t="s">
        <v>14</v>
      </c>
      <c r="C199" t="s">
        <v>15</v>
      </c>
      <c r="D199" t="s">
        <v>16</v>
      </c>
      <c r="E199" t="s">
        <v>17</v>
      </c>
    </row>
    <row r="200" spans="1:7" x14ac:dyDescent="0.2">
      <c r="A200" t="s">
        <v>33</v>
      </c>
      <c r="B200">
        <v>200</v>
      </c>
      <c r="C200" t="s">
        <v>22</v>
      </c>
      <c r="D200" t="s">
        <v>23</v>
      </c>
      <c r="E200">
        <v>600.00870299339294</v>
      </c>
      <c r="F200">
        <v>632</v>
      </c>
    </row>
    <row r="201" spans="1:7" x14ac:dyDescent="0.2">
      <c r="A201" t="s">
        <v>20</v>
      </c>
      <c r="B201">
        <v>6</v>
      </c>
      <c r="C201" t="s">
        <v>22</v>
      </c>
      <c r="D201" t="s">
        <v>58</v>
      </c>
      <c r="E201">
        <v>0.84274387359619096</v>
      </c>
      <c r="F201">
        <v>416</v>
      </c>
      <c r="G201">
        <v>81</v>
      </c>
    </row>
    <row r="202" spans="1:7" x14ac:dyDescent="0.2">
      <c r="A202" t="s">
        <v>20</v>
      </c>
      <c r="B202">
        <v>6</v>
      </c>
      <c r="C202" t="s">
        <v>22</v>
      </c>
      <c r="D202" t="s">
        <v>59</v>
      </c>
      <c r="E202">
        <v>5.5492160320281902</v>
      </c>
      <c r="F202">
        <v>124</v>
      </c>
      <c r="G202">
        <v>18</v>
      </c>
    </row>
    <row r="203" spans="1:7" x14ac:dyDescent="0.2">
      <c r="A203" t="s">
        <v>20</v>
      </c>
      <c r="B203">
        <v>8</v>
      </c>
      <c r="C203" t="s">
        <v>22</v>
      </c>
      <c r="D203" t="s">
        <v>58</v>
      </c>
      <c r="E203">
        <v>1.0233299732208201</v>
      </c>
      <c r="F203">
        <v>570</v>
      </c>
      <c r="G203">
        <v>110</v>
      </c>
    </row>
    <row r="204" spans="1:7" x14ac:dyDescent="0.2">
      <c r="A204" t="s">
        <v>20</v>
      </c>
      <c r="B204">
        <v>8</v>
      </c>
      <c r="C204" t="s">
        <v>22</v>
      </c>
      <c r="D204" t="s">
        <v>59</v>
      </c>
      <c r="E204">
        <v>6.7263500690460196</v>
      </c>
      <c r="F204">
        <v>244</v>
      </c>
      <c r="G204">
        <v>30</v>
      </c>
    </row>
    <row r="205" spans="1:7" x14ac:dyDescent="0.2">
      <c r="A205" t="s">
        <v>20</v>
      </c>
      <c r="B205">
        <v>6</v>
      </c>
      <c r="C205" t="s">
        <v>22</v>
      </c>
      <c r="D205" t="s">
        <v>58</v>
      </c>
      <c r="E205">
        <v>0.76563310623168901</v>
      </c>
      <c r="F205">
        <v>416</v>
      </c>
      <c r="G205">
        <v>81</v>
      </c>
    </row>
    <row r="206" spans="1:7" x14ac:dyDescent="0.2">
      <c r="A206" t="s">
        <v>20</v>
      </c>
      <c r="B206">
        <v>6</v>
      </c>
      <c r="C206" t="s">
        <v>22</v>
      </c>
      <c r="D206" t="s">
        <v>59</v>
      </c>
      <c r="E206">
        <v>5.2543740272521902</v>
      </c>
      <c r="F206">
        <v>124</v>
      </c>
      <c r="G206">
        <v>18</v>
      </c>
    </row>
    <row r="207" spans="1:7" x14ac:dyDescent="0.2">
      <c r="A207" t="s">
        <v>20</v>
      </c>
      <c r="B207">
        <v>8</v>
      </c>
      <c r="C207" t="s">
        <v>22</v>
      </c>
      <c r="D207" t="s">
        <v>58</v>
      </c>
      <c r="E207">
        <v>0.97873806953430098</v>
      </c>
      <c r="F207">
        <v>570</v>
      </c>
      <c r="G207">
        <v>110</v>
      </c>
    </row>
    <row r="208" spans="1:7" x14ac:dyDescent="0.2">
      <c r="A208" t="s">
        <v>20</v>
      </c>
      <c r="B208">
        <v>8</v>
      </c>
      <c r="C208" t="s">
        <v>22</v>
      </c>
      <c r="D208" t="s">
        <v>59</v>
      </c>
      <c r="E208">
        <v>6.2245109081268302</v>
      </c>
      <c r="F208">
        <v>244</v>
      </c>
      <c r="G208">
        <v>30</v>
      </c>
    </row>
    <row r="209" spans="1:7" x14ac:dyDescent="0.2">
      <c r="A209" t="s">
        <v>20</v>
      </c>
      <c r="B209">
        <v>10</v>
      </c>
      <c r="C209" t="s">
        <v>22</v>
      </c>
      <c r="D209" t="s">
        <v>58</v>
      </c>
      <c r="E209">
        <v>8.5751991271972603</v>
      </c>
      <c r="F209">
        <v>6582</v>
      </c>
      <c r="G209">
        <v>494</v>
      </c>
    </row>
    <row r="210" spans="1:7" x14ac:dyDescent="0.2">
      <c r="A210" t="s">
        <v>20</v>
      </c>
      <c r="B210">
        <v>10</v>
      </c>
      <c r="C210" t="s">
        <v>22</v>
      </c>
      <c r="D210" t="s">
        <v>59</v>
      </c>
      <c r="E210">
        <v>12.437753915786701</v>
      </c>
      <c r="F210">
        <v>2838</v>
      </c>
      <c r="G210">
        <v>180</v>
      </c>
    </row>
    <row r="211" spans="1:7" x14ac:dyDescent="0.2">
      <c r="A211" t="s">
        <v>20</v>
      </c>
      <c r="B211">
        <v>12</v>
      </c>
      <c r="C211" t="s">
        <v>22</v>
      </c>
      <c r="D211" t="s">
        <v>58</v>
      </c>
      <c r="E211">
        <v>1.05165791511535</v>
      </c>
      <c r="F211">
        <v>1079</v>
      </c>
      <c r="G211">
        <v>74</v>
      </c>
    </row>
    <row r="212" spans="1:7" x14ac:dyDescent="0.2">
      <c r="A212" t="s">
        <v>20</v>
      </c>
      <c r="B212">
        <v>12</v>
      </c>
      <c r="C212" t="s">
        <v>22</v>
      </c>
      <c r="D212" t="s">
        <v>59</v>
      </c>
      <c r="E212">
        <v>7.8441359996795601</v>
      </c>
      <c r="F212">
        <v>532</v>
      </c>
      <c r="G212">
        <v>29</v>
      </c>
    </row>
    <row r="213" spans="1:7" x14ac:dyDescent="0.2">
      <c r="A213" t="s">
        <v>20</v>
      </c>
      <c r="B213">
        <v>200</v>
      </c>
      <c r="C213" t="s">
        <v>22</v>
      </c>
      <c r="D213" t="s">
        <v>58</v>
      </c>
      <c r="E213">
        <v>1.57561707496643</v>
      </c>
      <c r="F213">
        <v>1182</v>
      </c>
      <c r="G213">
        <v>101</v>
      </c>
    </row>
    <row r="214" spans="1:7" x14ac:dyDescent="0.2">
      <c r="A214" t="s">
        <v>20</v>
      </c>
      <c r="B214">
        <v>200</v>
      </c>
      <c r="C214" t="s">
        <v>22</v>
      </c>
      <c r="D214" t="s">
        <v>59</v>
      </c>
      <c r="E214">
        <v>9.6763510704040492</v>
      </c>
      <c r="F214">
        <v>928</v>
      </c>
      <c r="G214">
        <v>79</v>
      </c>
    </row>
    <row r="215" spans="1:7" x14ac:dyDescent="0.2">
      <c r="A215" t="s">
        <v>25</v>
      </c>
      <c r="B215">
        <v>6</v>
      </c>
      <c r="C215" t="s">
        <v>22</v>
      </c>
      <c r="D215" t="s">
        <v>58</v>
      </c>
      <c r="E215">
        <v>0.156089067459106</v>
      </c>
      <c r="F215">
        <v>81</v>
      </c>
      <c r="G215">
        <v>10</v>
      </c>
    </row>
    <row r="216" spans="1:7" x14ac:dyDescent="0.2">
      <c r="A216" t="s">
        <v>25</v>
      </c>
      <c r="B216">
        <v>6</v>
      </c>
      <c r="C216" t="s">
        <v>22</v>
      </c>
      <c r="D216" t="s">
        <v>59</v>
      </c>
      <c r="E216">
        <v>3.2084181308746298</v>
      </c>
      <c r="F216">
        <v>42</v>
      </c>
      <c r="G216">
        <v>5</v>
      </c>
    </row>
    <row r="217" spans="1:7" x14ac:dyDescent="0.2">
      <c r="A217" t="s">
        <v>25</v>
      </c>
      <c r="B217">
        <v>8</v>
      </c>
      <c r="C217" t="s">
        <v>22</v>
      </c>
      <c r="D217" t="s">
        <v>58</v>
      </c>
      <c r="E217">
        <v>0.27508807182312001</v>
      </c>
      <c r="F217">
        <v>117</v>
      </c>
      <c r="G217">
        <v>23</v>
      </c>
    </row>
    <row r="218" spans="1:7" x14ac:dyDescent="0.2">
      <c r="A218" t="s">
        <v>25</v>
      </c>
      <c r="B218">
        <v>8</v>
      </c>
      <c r="C218" t="s">
        <v>22</v>
      </c>
      <c r="D218" t="s">
        <v>59</v>
      </c>
      <c r="E218">
        <v>5.1890900135040203</v>
      </c>
      <c r="F218">
        <v>64</v>
      </c>
      <c r="G218">
        <v>11</v>
      </c>
    </row>
    <row r="219" spans="1:7" x14ac:dyDescent="0.2">
      <c r="A219" t="s">
        <v>25</v>
      </c>
      <c r="B219">
        <v>10</v>
      </c>
      <c r="C219" t="s">
        <v>22</v>
      </c>
      <c r="D219" t="s">
        <v>58</v>
      </c>
      <c r="E219">
        <v>4.0738010406494096</v>
      </c>
      <c r="F219">
        <v>4449</v>
      </c>
      <c r="G219">
        <v>243</v>
      </c>
    </row>
    <row r="220" spans="1:7" x14ac:dyDescent="0.2">
      <c r="A220" t="s">
        <v>25</v>
      </c>
      <c r="B220">
        <v>10</v>
      </c>
      <c r="C220" t="s">
        <v>22</v>
      </c>
      <c r="D220" t="s">
        <v>59</v>
      </c>
      <c r="E220">
        <v>10.617407083511299</v>
      </c>
      <c r="F220">
        <v>2530</v>
      </c>
      <c r="G220">
        <v>144</v>
      </c>
    </row>
    <row r="221" spans="1:7" x14ac:dyDescent="0.2">
      <c r="A221" t="s">
        <v>25</v>
      </c>
      <c r="B221">
        <v>12</v>
      </c>
      <c r="C221" t="s">
        <v>22</v>
      </c>
      <c r="D221" t="s">
        <v>58</v>
      </c>
      <c r="E221">
        <v>0.42392897605895902</v>
      </c>
      <c r="F221">
        <v>187</v>
      </c>
      <c r="G221">
        <v>8</v>
      </c>
    </row>
    <row r="222" spans="1:7" x14ac:dyDescent="0.2">
      <c r="A222" t="s">
        <v>25</v>
      </c>
      <c r="B222">
        <v>12</v>
      </c>
      <c r="C222" t="s">
        <v>22</v>
      </c>
      <c r="D222" t="s">
        <v>59</v>
      </c>
      <c r="E222">
        <v>7.9356319904327304</v>
      </c>
      <c r="F222">
        <v>182</v>
      </c>
      <c r="G222">
        <v>7</v>
      </c>
    </row>
    <row r="223" spans="1:7" x14ac:dyDescent="0.2">
      <c r="A223" t="s">
        <v>25</v>
      </c>
      <c r="B223">
        <v>200</v>
      </c>
      <c r="C223" t="s">
        <v>22</v>
      </c>
      <c r="D223" t="s">
        <v>58</v>
      </c>
      <c r="E223">
        <v>0.52775406837463301</v>
      </c>
      <c r="F223">
        <v>233</v>
      </c>
      <c r="G223">
        <v>11</v>
      </c>
    </row>
    <row r="224" spans="1:7" x14ac:dyDescent="0.2">
      <c r="A224" t="s">
        <v>25</v>
      </c>
      <c r="B224">
        <v>200</v>
      </c>
      <c r="C224" t="s">
        <v>22</v>
      </c>
      <c r="D224" t="s">
        <v>59</v>
      </c>
      <c r="E224">
        <v>7.3736209869384703</v>
      </c>
      <c r="F224">
        <v>184</v>
      </c>
      <c r="G224">
        <v>10</v>
      </c>
    </row>
    <row r="225" spans="1:7" x14ac:dyDescent="0.2">
      <c r="A225" t="s">
        <v>26</v>
      </c>
      <c r="B225">
        <v>6</v>
      </c>
      <c r="C225" t="s">
        <v>22</v>
      </c>
      <c r="D225" t="s">
        <v>58</v>
      </c>
      <c r="E225">
        <v>0.80638384819030695</v>
      </c>
      <c r="F225">
        <v>740</v>
      </c>
      <c r="G225">
        <v>96</v>
      </c>
    </row>
    <row r="226" spans="1:7" x14ac:dyDescent="0.2">
      <c r="A226" t="s">
        <v>26</v>
      </c>
      <c r="B226">
        <v>6</v>
      </c>
      <c r="C226" t="s">
        <v>22</v>
      </c>
      <c r="D226" t="s">
        <v>59</v>
      </c>
      <c r="E226">
        <v>6.5492999553680402</v>
      </c>
      <c r="F226">
        <v>413</v>
      </c>
      <c r="G226">
        <v>40</v>
      </c>
    </row>
    <row r="227" spans="1:7" x14ac:dyDescent="0.2">
      <c r="A227" t="s">
        <v>26</v>
      </c>
      <c r="B227">
        <v>8</v>
      </c>
      <c r="C227" t="s">
        <v>22</v>
      </c>
      <c r="D227" t="s">
        <v>58</v>
      </c>
      <c r="E227">
        <v>0.81602096557617099</v>
      </c>
      <c r="F227">
        <v>671</v>
      </c>
      <c r="G227">
        <v>84</v>
      </c>
    </row>
    <row r="228" spans="1:7" x14ac:dyDescent="0.2">
      <c r="A228" t="s">
        <v>26</v>
      </c>
      <c r="B228">
        <v>8</v>
      </c>
      <c r="C228" t="s">
        <v>22</v>
      </c>
      <c r="D228" t="s">
        <v>59</v>
      </c>
      <c r="E228">
        <v>6.5373780727386404</v>
      </c>
      <c r="F228">
        <v>343</v>
      </c>
      <c r="G228">
        <v>40</v>
      </c>
    </row>
    <row r="229" spans="1:7" x14ac:dyDescent="0.2">
      <c r="A229" t="s">
        <v>26</v>
      </c>
      <c r="B229">
        <v>10</v>
      </c>
      <c r="C229" t="s">
        <v>22</v>
      </c>
      <c r="D229" t="s">
        <v>58</v>
      </c>
      <c r="E229">
        <v>1.4487888813018699</v>
      </c>
      <c r="F229">
        <v>1444</v>
      </c>
      <c r="G229">
        <v>90</v>
      </c>
    </row>
    <row r="230" spans="1:7" x14ac:dyDescent="0.2">
      <c r="A230" t="s">
        <v>26</v>
      </c>
      <c r="B230">
        <v>10</v>
      </c>
      <c r="C230" t="s">
        <v>22</v>
      </c>
      <c r="D230" t="s">
        <v>59</v>
      </c>
      <c r="E230">
        <v>8.2780201435089094</v>
      </c>
      <c r="F230">
        <v>840</v>
      </c>
      <c r="G230">
        <v>42</v>
      </c>
    </row>
    <row r="231" spans="1:7" x14ac:dyDescent="0.2">
      <c r="A231" t="s">
        <v>26</v>
      </c>
      <c r="B231">
        <v>12</v>
      </c>
      <c r="C231" t="s">
        <v>22</v>
      </c>
      <c r="D231" t="s">
        <v>58</v>
      </c>
      <c r="E231">
        <v>0.78216505050659102</v>
      </c>
      <c r="F231">
        <v>923</v>
      </c>
      <c r="G231">
        <v>23</v>
      </c>
    </row>
    <row r="232" spans="1:7" x14ac:dyDescent="0.2">
      <c r="A232" t="s">
        <v>26</v>
      </c>
      <c r="B232">
        <v>12</v>
      </c>
      <c r="C232" t="s">
        <v>22</v>
      </c>
      <c r="D232" t="s">
        <v>59</v>
      </c>
      <c r="E232">
        <v>7.7451989650726301</v>
      </c>
      <c r="F232">
        <v>461</v>
      </c>
      <c r="G232">
        <v>9</v>
      </c>
    </row>
    <row r="233" spans="1:7" x14ac:dyDescent="0.2">
      <c r="A233" t="s">
        <v>26</v>
      </c>
      <c r="B233">
        <v>200</v>
      </c>
      <c r="C233" t="s">
        <v>22</v>
      </c>
      <c r="D233" t="s">
        <v>58</v>
      </c>
      <c r="E233">
        <v>0.65079212188720703</v>
      </c>
      <c r="F233">
        <v>781</v>
      </c>
      <c r="G233">
        <v>21</v>
      </c>
    </row>
    <row r="234" spans="1:7" x14ac:dyDescent="0.2">
      <c r="A234" t="s">
        <v>26</v>
      </c>
      <c r="B234">
        <v>200</v>
      </c>
      <c r="C234" t="s">
        <v>22</v>
      </c>
      <c r="D234" t="s">
        <v>59</v>
      </c>
      <c r="E234">
        <v>8.6759729385375906</v>
      </c>
      <c r="F234">
        <v>416</v>
      </c>
      <c r="G234">
        <v>9</v>
      </c>
    </row>
    <row r="235" spans="1:7" x14ac:dyDescent="0.2">
      <c r="A235" t="s">
        <v>27</v>
      </c>
      <c r="B235">
        <v>6</v>
      </c>
      <c r="C235" t="s">
        <v>22</v>
      </c>
      <c r="D235" t="s">
        <v>58</v>
      </c>
      <c r="E235">
        <v>2.3140699863433798</v>
      </c>
      <c r="F235">
        <v>1740</v>
      </c>
      <c r="G235">
        <v>227</v>
      </c>
    </row>
    <row r="236" spans="1:7" x14ac:dyDescent="0.2">
      <c r="A236" t="s">
        <v>27</v>
      </c>
      <c r="B236">
        <v>6</v>
      </c>
      <c r="C236" t="s">
        <v>22</v>
      </c>
      <c r="D236" t="s">
        <v>59</v>
      </c>
      <c r="E236">
        <v>8.34153008460998</v>
      </c>
      <c r="F236">
        <v>1529</v>
      </c>
      <c r="G236">
        <v>193</v>
      </c>
    </row>
    <row r="237" spans="1:7" x14ac:dyDescent="0.2">
      <c r="A237" t="s">
        <v>27</v>
      </c>
      <c r="B237">
        <v>8</v>
      </c>
      <c r="C237" t="s">
        <v>22</v>
      </c>
      <c r="D237" t="s">
        <v>58</v>
      </c>
      <c r="E237">
        <v>2.8183639049529998</v>
      </c>
      <c r="F237">
        <v>3055</v>
      </c>
      <c r="G237">
        <v>260</v>
      </c>
    </row>
    <row r="238" spans="1:7" x14ac:dyDescent="0.2">
      <c r="A238" t="s">
        <v>27</v>
      </c>
      <c r="B238">
        <v>8</v>
      </c>
      <c r="C238" t="s">
        <v>22</v>
      </c>
      <c r="D238" t="s">
        <v>59</v>
      </c>
      <c r="E238">
        <v>9.4998919963836599</v>
      </c>
      <c r="F238">
        <v>1740</v>
      </c>
      <c r="G238">
        <v>139</v>
      </c>
    </row>
    <row r="239" spans="1:7" x14ac:dyDescent="0.2">
      <c r="A239" t="s">
        <v>27</v>
      </c>
      <c r="B239">
        <v>10</v>
      </c>
      <c r="C239" t="s">
        <v>22</v>
      </c>
      <c r="D239" t="s">
        <v>58</v>
      </c>
      <c r="E239">
        <v>10.8203389644622</v>
      </c>
      <c r="F239">
        <v>11378</v>
      </c>
      <c r="G239">
        <v>522</v>
      </c>
    </row>
    <row r="240" spans="1:7" x14ac:dyDescent="0.2">
      <c r="A240" t="s">
        <v>27</v>
      </c>
      <c r="B240">
        <v>10</v>
      </c>
      <c r="C240" t="s">
        <v>22</v>
      </c>
      <c r="D240" t="s">
        <v>59</v>
      </c>
      <c r="E240">
        <v>17.9027001857757</v>
      </c>
      <c r="F240">
        <v>7912</v>
      </c>
      <c r="G240">
        <v>446</v>
      </c>
    </row>
    <row r="241" spans="1:7" x14ac:dyDescent="0.2">
      <c r="A241" t="s">
        <v>27</v>
      </c>
      <c r="B241">
        <v>12</v>
      </c>
      <c r="C241" t="s">
        <v>22</v>
      </c>
      <c r="D241" t="s">
        <v>58</v>
      </c>
      <c r="E241">
        <v>0.31934094429016102</v>
      </c>
      <c r="F241">
        <v>272</v>
      </c>
      <c r="G241">
        <v>12</v>
      </c>
    </row>
    <row r="242" spans="1:7" x14ac:dyDescent="0.2">
      <c r="A242" t="s">
        <v>27</v>
      </c>
      <c r="B242">
        <v>12</v>
      </c>
      <c r="C242" t="s">
        <v>22</v>
      </c>
      <c r="D242" t="s">
        <v>59</v>
      </c>
      <c r="E242">
        <v>7.8303449153900102</v>
      </c>
      <c r="F242">
        <v>226</v>
      </c>
      <c r="G242">
        <v>11</v>
      </c>
    </row>
    <row r="243" spans="1:7" x14ac:dyDescent="0.2">
      <c r="A243" t="s">
        <v>27</v>
      </c>
      <c r="B243">
        <v>200</v>
      </c>
      <c r="C243" t="s">
        <v>22</v>
      </c>
      <c r="D243" t="s">
        <v>58</v>
      </c>
      <c r="E243">
        <v>0.39427781105041498</v>
      </c>
      <c r="F243">
        <v>251</v>
      </c>
      <c r="G243">
        <v>12</v>
      </c>
    </row>
    <row r="244" spans="1:7" x14ac:dyDescent="0.2">
      <c r="A244" t="s">
        <v>27</v>
      </c>
      <c r="B244">
        <v>200</v>
      </c>
      <c r="C244" t="s">
        <v>22</v>
      </c>
      <c r="D244" t="s">
        <v>59</v>
      </c>
      <c r="E244">
        <v>7.6517050266265798</v>
      </c>
      <c r="F244">
        <v>206</v>
      </c>
      <c r="G244">
        <v>11</v>
      </c>
    </row>
    <row r="245" spans="1:7" x14ac:dyDescent="0.2">
      <c r="A245" t="s">
        <v>28</v>
      </c>
      <c r="B245">
        <v>6</v>
      </c>
      <c r="C245" t="s">
        <v>22</v>
      </c>
      <c r="D245" t="s">
        <v>58</v>
      </c>
      <c r="E245">
        <v>0.40539717674255299</v>
      </c>
      <c r="F245">
        <v>147</v>
      </c>
      <c r="G245">
        <v>49</v>
      </c>
    </row>
    <row r="246" spans="1:7" x14ac:dyDescent="0.2">
      <c r="A246" t="s">
        <v>28</v>
      </c>
      <c r="B246">
        <v>6</v>
      </c>
      <c r="C246" t="s">
        <v>22</v>
      </c>
      <c r="D246" t="s">
        <v>59</v>
      </c>
      <c r="E246">
        <v>5.05629205703735</v>
      </c>
      <c r="F246">
        <v>69</v>
      </c>
      <c r="G246">
        <v>15</v>
      </c>
    </row>
    <row r="247" spans="1:7" x14ac:dyDescent="0.2">
      <c r="A247" t="s">
        <v>28</v>
      </c>
      <c r="B247">
        <v>8</v>
      </c>
      <c r="C247" t="s">
        <v>22</v>
      </c>
      <c r="D247" t="s">
        <v>58</v>
      </c>
      <c r="E247">
        <v>0.53040289878845204</v>
      </c>
      <c r="F247">
        <v>253</v>
      </c>
      <c r="G247">
        <v>65</v>
      </c>
    </row>
    <row r="248" spans="1:7" x14ac:dyDescent="0.2">
      <c r="A248" t="s">
        <v>28</v>
      </c>
      <c r="B248">
        <v>8</v>
      </c>
      <c r="C248" t="s">
        <v>22</v>
      </c>
      <c r="D248" t="s">
        <v>59</v>
      </c>
      <c r="E248">
        <v>5.7133150100707999</v>
      </c>
      <c r="F248">
        <v>93</v>
      </c>
      <c r="G248">
        <v>16</v>
      </c>
    </row>
    <row r="249" spans="1:7" x14ac:dyDescent="0.2">
      <c r="A249" t="s">
        <v>28</v>
      </c>
      <c r="B249">
        <v>10</v>
      </c>
      <c r="C249" t="s">
        <v>22</v>
      </c>
      <c r="D249" t="s">
        <v>58</v>
      </c>
      <c r="E249">
        <v>1.7615201473236</v>
      </c>
      <c r="F249">
        <v>1644</v>
      </c>
      <c r="G249">
        <v>149</v>
      </c>
    </row>
    <row r="250" spans="1:7" x14ac:dyDescent="0.2">
      <c r="A250" t="s">
        <v>28</v>
      </c>
      <c r="B250">
        <v>10</v>
      </c>
      <c r="C250" t="s">
        <v>22</v>
      </c>
      <c r="D250" t="s">
        <v>59</v>
      </c>
      <c r="E250">
        <v>7.6228680610656703</v>
      </c>
      <c r="F250">
        <v>453</v>
      </c>
      <c r="G250">
        <v>48</v>
      </c>
    </row>
    <row r="251" spans="1:7" x14ac:dyDescent="0.2">
      <c r="A251" t="s">
        <v>28</v>
      </c>
      <c r="B251">
        <v>12</v>
      </c>
      <c r="C251" t="s">
        <v>22</v>
      </c>
      <c r="D251" t="s">
        <v>58</v>
      </c>
      <c r="E251">
        <v>12.1250150203704</v>
      </c>
      <c r="F251">
        <v>10701</v>
      </c>
      <c r="G251">
        <v>294</v>
      </c>
    </row>
    <row r="252" spans="1:7" x14ac:dyDescent="0.2">
      <c r="A252" t="s">
        <v>28</v>
      </c>
      <c r="B252">
        <v>12</v>
      </c>
      <c r="C252" t="s">
        <v>22</v>
      </c>
      <c r="D252" t="s">
        <v>59</v>
      </c>
      <c r="E252">
        <v>18.449170827865601</v>
      </c>
      <c r="F252">
        <v>6098</v>
      </c>
      <c r="G252">
        <v>171</v>
      </c>
    </row>
    <row r="253" spans="1:7" x14ac:dyDescent="0.2">
      <c r="A253" t="s">
        <v>28</v>
      </c>
      <c r="B253">
        <v>200</v>
      </c>
      <c r="C253" t="s">
        <v>22</v>
      </c>
      <c r="D253" t="s">
        <v>58</v>
      </c>
      <c r="E253">
        <v>15.1571581363677</v>
      </c>
      <c r="F253">
        <v>11960</v>
      </c>
      <c r="G253">
        <v>285</v>
      </c>
    </row>
    <row r="254" spans="1:7" x14ac:dyDescent="0.2">
      <c r="A254" t="s">
        <v>28</v>
      </c>
      <c r="B254">
        <v>200</v>
      </c>
      <c r="C254" t="s">
        <v>22</v>
      </c>
      <c r="D254" t="s">
        <v>59</v>
      </c>
      <c r="E254">
        <v>17.064465045928898</v>
      </c>
      <c r="F254">
        <v>5866</v>
      </c>
      <c r="G254">
        <v>142</v>
      </c>
    </row>
    <row r="255" spans="1:7" x14ac:dyDescent="0.2">
      <c r="A255" t="s">
        <v>29</v>
      </c>
      <c r="B255">
        <v>6</v>
      </c>
      <c r="C255" t="s">
        <v>22</v>
      </c>
      <c r="D255" t="s">
        <v>58</v>
      </c>
      <c r="E255">
        <v>7.4372878074645996</v>
      </c>
      <c r="F255">
        <v>5148</v>
      </c>
      <c r="G255">
        <v>902</v>
      </c>
    </row>
    <row r="256" spans="1:7" x14ac:dyDescent="0.2">
      <c r="A256" t="s">
        <v>29</v>
      </c>
      <c r="B256">
        <v>6</v>
      </c>
      <c r="C256" t="s">
        <v>22</v>
      </c>
      <c r="D256" t="s">
        <v>59</v>
      </c>
      <c r="E256">
        <v>16.099563837051299</v>
      </c>
      <c r="F256">
        <v>4875</v>
      </c>
      <c r="G256">
        <v>675</v>
      </c>
    </row>
    <row r="257" spans="1:7" x14ac:dyDescent="0.2">
      <c r="A257" t="s">
        <v>29</v>
      </c>
      <c r="B257">
        <v>8</v>
      </c>
      <c r="C257" t="s">
        <v>22</v>
      </c>
      <c r="D257" t="s">
        <v>58</v>
      </c>
      <c r="E257">
        <v>8.3778698444366402</v>
      </c>
      <c r="F257">
        <v>5885</v>
      </c>
      <c r="G257">
        <v>733</v>
      </c>
    </row>
    <row r="258" spans="1:7" x14ac:dyDescent="0.2">
      <c r="A258" t="s">
        <v>29</v>
      </c>
      <c r="B258">
        <v>8</v>
      </c>
      <c r="C258" t="s">
        <v>22</v>
      </c>
      <c r="D258" t="s">
        <v>59</v>
      </c>
      <c r="E258">
        <v>12.2534940242767</v>
      </c>
      <c r="F258">
        <v>4120</v>
      </c>
      <c r="G258">
        <v>349</v>
      </c>
    </row>
    <row r="259" spans="1:7" x14ac:dyDescent="0.2">
      <c r="A259" t="s">
        <v>29</v>
      </c>
      <c r="B259">
        <v>10</v>
      </c>
      <c r="C259" t="s">
        <v>22</v>
      </c>
      <c r="D259" t="s">
        <v>58</v>
      </c>
      <c r="E259">
        <v>2.0490689277648899</v>
      </c>
      <c r="F259">
        <v>1172</v>
      </c>
      <c r="G259">
        <v>206</v>
      </c>
    </row>
    <row r="260" spans="1:7" x14ac:dyDescent="0.2">
      <c r="A260" t="s">
        <v>29</v>
      </c>
      <c r="B260">
        <v>10</v>
      </c>
      <c r="C260" t="s">
        <v>22</v>
      </c>
      <c r="D260" t="s">
        <v>59</v>
      </c>
      <c r="E260">
        <v>7.4765841960906902</v>
      </c>
      <c r="F260">
        <v>514</v>
      </c>
      <c r="G260">
        <v>107</v>
      </c>
    </row>
    <row r="261" spans="1:7" x14ac:dyDescent="0.2">
      <c r="A261" t="s">
        <v>29</v>
      </c>
      <c r="B261">
        <v>12</v>
      </c>
      <c r="C261" t="s">
        <v>22</v>
      </c>
      <c r="D261" t="s">
        <v>58</v>
      </c>
      <c r="E261">
        <v>0.54219102859497004</v>
      </c>
      <c r="F261">
        <v>461</v>
      </c>
      <c r="G261">
        <v>37</v>
      </c>
    </row>
    <row r="262" spans="1:7" x14ac:dyDescent="0.2">
      <c r="A262" t="s">
        <v>29</v>
      </c>
      <c r="B262">
        <v>12</v>
      </c>
      <c r="C262" t="s">
        <v>22</v>
      </c>
      <c r="D262" t="s">
        <v>59</v>
      </c>
      <c r="E262">
        <v>7.1759281158447203</v>
      </c>
      <c r="F262">
        <v>409</v>
      </c>
      <c r="G262">
        <v>23</v>
      </c>
    </row>
    <row r="263" spans="1:7" x14ac:dyDescent="0.2">
      <c r="A263" t="s">
        <v>29</v>
      </c>
      <c r="B263">
        <v>200</v>
      </c>
      <c r="C263" t="s">
        <v>22</v>
      </c>
      <c r="D263" t="s">
        <v>58</v>
      </c>
      <c r="E263">
        <v>0.73945593833923295</v>
      </c>
      <c r="F263">
        <v>799</v>
      </c>
      <c r="G263">
        <v>48</v>
      </c>
    </row>
    <row r="264" spans="1:7" x14ac:dyDescent="0.2">
      <c r="A264" t="s">
        <v>29</v>
      </c>
      <c r="B264">
        <v>200</v>
      </c>
      <c r="C264" t="s">
        <v>22</v>
      </c>
      <c r="D264" t="s">
        <v>59</v>
      </c>
      <c r="E264">
        <v>8.2175490856170601</v>
      </c>
      <c r="F264">
        <v>483</v>
      </c>
      <c r="G264">
        <v>32</v>
      </c>
    </row>
    <row r="265" spans="1:7" x14ac:dyDescent="0.2">
      <c r="A265" t="s">
        <v>30</v>
      </c>
      <c r="B265">
        <v>6</v>
      </c>
      <c r="C265" t="s">
        <v>22</v>
      </c>
      <c r="D265" t="s">
        <v>58</v>
      </c>
      <c r="E265">
        <v>0.73510289192199696</v>
      </c>
      <c r="F265">
        <v>602</v>
      </c>
      <c r="G265">
        <v>97</v>
      </c>
    </row>
    <row r="266" spans="1:7" x14ac:dyDescent="0.2">
      <c r="A266" t="s">
        <v>30</v>
      </c>
      <c r="B266">
        <v>6</v>
      </c>
      <c r="C266" t="s">
        <v>22</v>
      </c>
      <c r="D266" t="s">
        <v>59</v>
      </c>
      <c r="E266">
        <v>6.7701630592346103</v>
      </c>
      <c r="F266">
        <v>291</v>
      </c>
      <c r="G266">
        <v>54</v>
      </c>
    </row>
    <row r="267" spans="1:7" x14ac:dyDescent="0.2">
      <c r="A267" t="s">
        <v>30</v>
      </c>
      <c r="B267">
        <v>8</v>
      </c>
      <c r="C267" t="s">
        <v>22</v>
      </c>
      <c r="D267" t="s">
        <v>58</v>
      </c>
      <c r="E267">
        <v>0.32417392730712802</v>
      </c>
      <c r="F267">
        <v>207</v>
      </c>
      <c r="G267">
        <v>31</v>
      </c>
    </row>
    <row r="268" spans="1:7" x14ac:dyDescent="0.2">
      <c r="A268" t="s">
        <v>30</v>
      </c>
      <c r="B268">
        <v>8</v>
      </c>
      <c r="C268" t="s">
        <v>22</v>
      </c>
      <c r="D268" t="s">
        <v>59</v>
      </c>
      <c r="E268">
        <v>7.1199538707733101</v>
      </c>
      <c r="F268">
        <v>88</v>
      </c>
      <c r="G268">
        <v>16</v>
      </c>
    </row>
    <row r="269" spans="1:7" x14ac:dyDescent="0.2">
      <c r="A269" t="s">
        <v>30</v>
      </c>
      <c r="B269">
        <v>10</v>
      </c>
      <c r="C269" t="s">
        <v>22</v>
      </c>
      <c r="D269" t="s">
        <v>58</v>
      </c>
      <c r="E269">
        <v>1.15356397628784</v>
      </c>
      <c r="F269">
        <v>1205</v>
      </c>
      <c r="G269">
        <v>105</v>
      </c>
    </row>
    <row r="270" spans="1:7" x14ac:dyDescent="0.2">
      <c r="A270" t="s">
        <v>30</v>
      </c>
      <c r="B270">
        <v>10</v>
      </c>
      <c r="C270" t="s">
        <v>22</v>
      </c>
      <c r="D270" t="s">
        <v>59</v>
      </c>
      <c r="E270">
        <v>8.1264848709106392</v>
      </c>
      <c r="F270">
        <v>640</v>
      </c>
      <c r="G270">
        <v>46</v>
      </c>
    </row>
    <row r="271" spans="1:7" x14ac:dyDescent="0.2">
      <c r="A271" t="s">
        <v>30</v>
      </c>
      <c r="B271">
        <v>12</v>
      </c>
      <c r="C271" t="s">
        <v>22</v>
      </c>
      <c r="D271" t="s">
        <v>58</v>
      </c>
      <c r="E271">
        <v>1.17383885383605</v>
      </c>
      <c r="F271">
        <v>1185</v>
      </c>
      <c r="G271">
        <v>20</v>
      </c>
    </row>
    <row r="272" spans="1:7" x14ac:dyDescent="0.2">
      <c r="A272" t="s">
        <v>30</v>
      </c>
      <c r="B272">
        <v>12</v>
      </c>
      <c r="C272" t="s">
        <v>22</v>
      </c>
      <c r="D272" t="s">
        <v>59</v>
      </c>
      <c r="E272">
        <v>9.1676800251006991</v>
      </c>
      <c r="F272">
        <v>725</v>
      </c>
      <c r="G272">
        <v>13</v>
      </c>
    </row>
    <row r="273" spans="1:7" x14ac:dyDescent="0.2">
      <c r="A273" t="s">
        <v>30</v>
      </c>
      <c r="B273">
        <v>200</v>
      </c>
      <c r="C273" t="s">
        <v>22</v>
      </c>
      <c r="D273" t="s">
        <v>58</v>
      </c>
      <c r="E273">
        <v>1.32064509391784</v>
      </c>
      <c r="F273">
        <v>1464</v>
      </c>
      <c r="G273">
        <v>23</v>
      </c>
    </row>
    <row r="274" spans="1:7" x14ac:dyDescent="0.2">
      <c r="A274" t="s">
        <v>30</v>
      </c>
      <c r="B274">
        <v>200</v>
      </c>
      <c r="C274" t="s">
        <v>22</v>
      </c>
      <c r="D274" t="s">
        <v>59</v>
      </c>
      <c r="E274">
        <v>9.3861279487609792</v>
      </c>
      <c r="F274">
        <v>841</v>
      </c>
      <c r="G274">
        <v>16</v>
      </c>
    </row>
    <row r="275" spans="1:7" x14ac:dyDescent="0.2">
      <c r="A275" t="s">
        <v>31</v>
      </c>
      <c r="B275">
        <v>6</v>
      </c>
      <c r="C275" t="s">
        <v>22</v>
      </c>
      <c r="D275" t="s">
        <v>58</v>
      </c>
      <c r="E275">
        <v>0.19175004959106401</v>
      </c>
      <c r="F275">
        <v>75</v>
      </c>
      <c r="G275">
        <v>25</v>
      </c>
    </row>
    <row r="276" spans="1:7" x14ac:dyDescent="0.2">
      <c r="A276" t="s">
        <v>31</v>
      </c>
      <c r="B276">
        <v>6</v>
      </c>
      <c r="C276" t="s">
        <v>22</v>
      </c>
      <c r="D276" t="s">
        <v>59</v>
      </c>
      <c r="E276">
        <v>2.5652270317077601</v>
      </c>
      <c r="F276">
        <v>41</v>
      </c>
      <c r="G276">
        <v>11</v>
      </c>
    </row>
    <row r="277" spans="1:7" x14ac:dyDescent="0.2">
      <c r="A277" t="s">
        <v>31</v>
      </c>
      <c r="B277">
        <v>8</v>
      </c>
      <c r="C277" t="s">
        <v>22</v>
      </c>
      <c r="D277" t="s">
        <v>58</v>
      </c>
      <c r="E277">
        <v>0.51148796081542902</v>
      </c>
      <c r="F277">
        <v>124</v>
      </c>
      <c r="G277">
        <v>36</v>
      </c>
    </row>
    <row r="278" spans="1:7" x14ac:dyDescent="0.2">
      <c r="A278" t="s">
        <v>31</v>
      </c>
      <c r="B278">
        <v>8</v>
      </c>
      <c r="C278" t="s">
        <v>22</v>
      </c>
      <c r="D278" t="s">
        <v>59</v>
      </c>
      <c r="E278">
        <v>3.3722770214080802</v>
      </c>
      <c r="F278">
        <v>47</v>
      </c>
      <c r="G278">
        <v>12</v>
      </c>
    </row>
    <row r="279" spans="1:7" x14ac:dyDescent="0.2">
      <c r="A279" t="s">
        <v>31</v>
      </c>
      <c r="B279">
        <v>10</v>
      </c>
      <c r="C279" t="s">
        <v>22</v>
      </c>
      <c r="D279" t="s">
        <v>58</v>
      </c>
      <c r="E279">
        <v>0.77833890914916903</v>
      </c>
      <c r="F279">
        <v>442</v>
      </c>
      <c r="G279">
        <v>88</v>
      </c>
    </row>
    <row r="280" spans="1:7" x14ac:dyDescent="0.2">
      <c r="A280" t="s">
        <v>31</v>
      </c>
      <c r="B280">
        <v>10</v>
      </c>
      <c r="C280" t="s">
        <v>22</v>
      </c>
      <c r="D280" t="s">
        <v>59</v>
      </c>
      <c r="E280">
        <v>7.2631189823150599</v>
      </c>
      <c r="F280">
        <v>151</v>
      </c>
      <c r="G280">
        <v>20</v>
      </c>
    </row>
    <row r="281" spans="1:7" x14ac:dyDescent="0.2">
      <c r="A281" t="s">
        <v>31</v>
      </c>
      <c r="B281">
        <v>12</v>
      </c>
      <c r="C281" t="s">
        <v>22</v>
      </c>
      <c r="D281" t="s">
        <v>58</v>
      </c>
      <c r="E281">
        <v>3.0921640396118102</v>
      </c>
      <c r="F281">
        <v>2237</v>
      </c>
      <c r="G281">
        <v>171</v>
      </c>
    </row>
    <row r="282" spans="1:7" x14ac:dyDescent="0.2">
      <c r="A282" t="s">
        <v>31</v>
      </c>
      <c r="B282">
        <v>12</v>
      </c>
      <c r="C282" t="s">
        <v>22</v>
      </c>
      <c r="D282" t="s">
        <v>59</v>
      </c>
      <c r="E282">
        <v>8.7144072055816597</v>
      </c>
      <c r="F282">
        <v>1080</v>
      </c>
      <c r="G282">
        <v>56</v>
      </c>
    </row>
    <row r="283" spans="1:7" x14ac:dyDescent="0.2">
      <c r="A283" t="s">
        <v>31</v>
      </c>
      <c r="B283">
        <v>200</v>
      </c>
      <c r="C283" t="s">
        <v>22</v>
      </c>
      <c r="D283" t="s">
        <v>58</v>
      </c>
      <c r="E283">
        <v>2.9619369506835902</v>
      </c>
      <c r="F283">
        <v>2455</v>
      </c>
      <c r="G283">
        <v>160</v>
      </c>
    </row>
    <row r="284" spans="1:7" x14ac:dyDescent="0.2">
      <c r="A284" t="s">
        <v>31</v>
      </c>
      <c r="B284">
        <v>200</v>
      </c>
      <c r="C284" t="s">
        <v>22</v>
      </c>
      <c r="D284" t="s">
        <v>59</v>
      </c>
      <c r="E284">
        <v>10.206653118133501</v>
      </c>
      <c r="F284">
        <v>1999</v>
      </c>
      <c r="G284">
        <v>67</v>
      </c>
    </row>
    <row r="285" spans="1:7" x14ac:dyDescent="0.2">
      <c r="A285" t="s">
        <v>32</v>
      </c>
      <c r="B285">
        <v>6</v>
      </c>
      <c r="C285" t="s">
        <v>22</v>
      </c>
      <c r="D285" t="s">
        <v>58</v>
      </c>
      <c r="E285">
        <v>2.6158139705657901</v>
      </c>
      <c r="F285">
        <v>2262</v>
      </c>
      <c r="G285">
        <v>338</v>
      </c>
    </row>
    <row r="286" spans="1:7" x14ac:dyDescent="0.2">
      <c r="A286" t="s">
        <v>32</v>
      </c>
      <c r="B286">
        <v>6</v>
      </c>
      <c r="C286" t="s">
        <v>22</v>
      </c>
      <c r="D286" t="s">
        <v>59</v>
      </c>
      <c r="E286">
        <v>7.7518219947814897</v>
      </c>
      <c r="F286">
        <v>1211</v>
      </c>
      <c r="G286">
        <v>110</v>
      </c>
    </row>
    <row r="287" spans="1:7" x14ac:dyDescent="0.2">
      <c r="A287" t="s">
        <v>32</v>
      </c>
      <c r="B287">
        <v>8</v>
      </c>
      <c r="C287" t="s">
        <v>22</v>
      </c>
      <c r="D287" t="s">
        <v>58</v>
      </c>
      <c r="E287">
        <v>5.8317420482635498</v>
      </c>
      <c r="F287">
        <v>3814</v>
      </c>
      <c r="G287">
        <v>540</v>
      </c>
    </row>
    <row r="288" spans="1:7" x14ac:dyDescent="0.2">
      <c r="A288" t="s">
        <v>32</v>
      </c>
      <c r="B288">
        <v>8</v>
      </c>
      <c r="C288" t="s">
        <v>22</v>
      </c>
      <c r="D288" t="s">
        <v>59</v>
      </c>
      <c r="E288">
        <v>10.1919600963592</v>
      </c>
      <c r="F288">
        <v>2093</v>
      </c>
      <c r="G288">
        <v>289</v>
      </c>
    </row>
    <row r="289" spans="1:7" x14ac:dyDescent="0.2">
      <c r="A289" t="s">
        <v>32</v>
      </c>
      <c r="B289">
        <v>10</v>
      </c>
      <c r="C289" t="s">
        <v>22</v>
      </c>
      <c r="D289" t="s">
        <v>58</v>
      </c>
      <c r="E289">
        <v>3.09330701828002</v>
      </c>
      <c r="F289">
        <v>1817</v>
      </c>
      <c r="G289">
        <v>259</v>
      </c>
    </row>
    <row r="290" spans="1:7" x14ac:dyDescent="0.2">
      <c r="A290" t="s">
        <v>32</v>
      </c>
      <c r="B290">
        <v>10</v>
      </c>
      <c r="C290" t="s">
        <v>22</v>
      </c>
      <c r="D290" t="s">
        <v>59</v>
      </c>
      <c r="E290">
        <v>9.5331740379333496</v>
      </c>
      <c r="F290">
        <v>754</v>
      </c>
      <c r="G290">
        <v>125</v>
      </c>
    </row>
    <row r="291" spans="1:7" x14ac:dyDescent="0.2">
      <c r="A291" t="s">
        <v>32</v>
      </c>
      <c r="B291">
        <v>12</v>
      </c>
      <c r="C291" t="s">
        <v>22</v>
      </c>
      <c r="D291" t="s">
        <v>58</v>
      </c>
      <c r="E291">
        <v>0.52402305603027299</v>
      </c>
      <c r="F291">
        <v>296</v>
      </c>
      <c r="G291">
        <v>42</v>
      </c>
    </row>
    <row r="292" spans="1:7" x14ac:dyDescent="0.2">
      <c r="A292" t="s">
        <v>32</v>
      </c>
      <c r="B292">
        <v>12</v>
      </c>
      <c r="C292" t="s">
        <v>22</v>
      </c>
      <c r="D292" t="s">
        <v>59</v>
      </c>
      <c r="E292">
        <v>7.7646949291229204</v>
      </c>
      <c r="F292">
        <v>134</v>
      </c>
      <c r="G292">
        <v>10</v>
      </c>
    </row>
    <row r="293" spans="1:7" x14ac:dyDescent="0.2">
      <c r="A293" t="s">
        <v>32</v>
      </c>
      <c r="B293">
        <v>200</v>
      </c>
      <c r="C293" t="s">
        <v>22</v>
      </c>
      <c r="D293" t="s">
        <v>58</v>
      </c>
      <c r="E293">
        <v>1.6454260349273599</v>
      </c>
      <c r="F293">
        <v>1675</v>
      </c>
      <c r="G293">
        <v>95</v>
      </c>
    </row>
    <row r="294" spans="1:7" x14ac:dyDescent="0.2">
      <c r="A294" t="s">
        <v>32</v>
      </c>
      <c r="B294">
        <v>200</v>
      </c>
      <c r="C294" t="s">
        <v>22</v>
      </c>
      <c r="D294" t="s">
        <v>59</v>
      </c>
      <c r="E294">
        <v>9.8887670040130597</v>
      </c>
      <c r="F294">
        <v>899</v>
      </c>
      <c r="G294">
        <v>78</v>
      </c>
    </row>
    <row r="295" spans="1:7" x14ac:dyDescent="0.2">
      <c r="A295" t="s">
        <v>33</v>
      </c>
      <c r="B295">
        <v>6</v>
      </c>
      <c r="C295" t="s">
        <v>22</v>
      </c>
      <c r="D295" t="s">
        <v>58</v>
      </c>
      <c r="E295">
        <v>1.4197349548339799</v>
      </c>
      <c r="F295">
        <v>992</v>
      </c>
      <c r="G295">
        <v>188</v>
      </c>
    </row>
    <row r="296" spans="1:7" x14ac:dyDescent="0.2">
      <c r="A296" t="s">
        <v>33</v>
      </c>
      <c r="B296">
        <v>6</v>
      </c>
      <c r="C296" t="s">
        <v>22</v>
      </c>
      <c r="D296" t="s">
        <v>59</v>
      </c>
      <c r="E296">
        <v>6.8578088283538801</v>
      </c>
      <c r="F296">
        <v>385</v>
      </c>
      <c r="G296">
        <v>41</v>
      </c>
    </row>
    <row r="297" spans="1:7" x14ac:dyDescent="0.2">
      <c r="A297" t="s">
        <v>33</v>
      </c>
      <c r="B297">
        <v>8</v>
      </c>
      <c r="C297" t="s">
        <v>22</v>
      </c>
      <c r="D297" t="s">
        <v>58</v>
      </c>
      <c r="E297">
        <v>1.4833950996398899</v>
      </c>
      <c r="F297">
        <v>992</v>
      </c>
      <c r="G297">
        <v>178</v>
      </c>
    </row>
    <row r="298" spans="1:7" x14ac:dyDescent="0.2">
      <c r="A298" t="s">
        <v>33</v>
      </c>
      <c r="B298">
        <v>8</v>
      </c>
      <c r="C298" t="s">
        <v>22</v>
      </c>
      <c r="D298" t="s">
        <v>59</v>
      </c>
      <c r="E298">
        <v>6.9082190990447998</v>
      </c>
      <c r="F298">
        <v>415</v>
      </c>
      <c r="G298">
        <v>41</v>
      </c>
    </row>
    <row r="299" spans="1:7" x14ac:dyDescent="0.2">
      <c r="A299" t="s">
        <v>33</v>
      </c>
      <c r="B299">
        <v>10</v>
      </c>
      <c r="C299" t="s">
        <v>22</v>
      </c>
      <c r="D299" t="s">
        <v>58</v>
      </c>
      <c r="E299">
        <v>9.5089349746704102</v>
      </c>
      <c r="F299">
        <v>6730</v>
      </c>
      <c r="G299">
        <v>833</v>
      </c>
    </row>
    <row r="300" spans="1:7" x14ac:dyDescent="0.2">
      <c r="A300" t="s">
        <v>33</v>
      </c>
      <c r="B300">
        <v>10</v>
      </c>
      <c r="C300" t="s">
        <v>22</v>
      </c>
      <c r="D300" t="s">
        <v>59</v>
      </c>
      <c r="E300">
        <v>14.2733981609344</v>
      </c>
      <c r="F300">
        <v>4025</v>
      </c>
      <c r="G300">
        <v>597</v>
      </c>
    </row>
    <row r="301" spans="1:7" x14ac:dyDescent="0.2">
      <c r="A301" t="s">
        <v>33</v>
      </c>
      <c r="B301">
        <v>12</v>
      </c>
      <c r="C301" t="s">
        <v>22</v>
      </c>
      <c r="D301" t="s">
        <v>58</v>
      </c>
      <c r="E301">
        <v>0.58071494102478005</v>
      </c>
      <c r="F301">
        <v>300</v>
      </c>
      <c r="G301">
        <v>35</v>
      </c>
    </row>
    <row r="302" spans="1:7" x14ac:dyDescent="0.2">
      <c r="A302" t="s">
        <v>33</v>
      </c>
      <c r="B302">
        <v>12</v>
      </c>
      <c r="C302" t="s">
        <v>22</v>
      </c>
      <c r="D302" t="s">
        <v>59</v>
      </c>
      <c r="E302">
        <v>7.7813558578491202</v>
      </c>
      <c r="F302">
        <v>152</v>
      </c>
      <c r="G302">
        <v>10</v>
      </c>
    </row>
    <row r="303" spans="1:7" x14ac:dyDescent="0.2">
      <c r="A303" t="s">
        <v>33</v>
      </c>
      <c r="B303">
        <v>200</v>
      </c>
      <c r="C303" t="s">
        <v>22</v>
      </c>
      <c r="D303" t="s">
        <v>58</v>
      </c>
      <c r="E303">
        <v>2.9255380630493102</v>
      </c>
      <c r="F303">
        <v>2085</v>
      </c>
      <c r="G303">
        <v>164</v>
      </c>
    </row>
    <row r="304" spans="1:7" x14ac:dyDescent="0.2">
      <c r="A304" t="s">
        <v>33</v>
      </c>
      <c r="B304">
        <v>200</v>
      </c>
      <c r="C304" t="s">
        <v>22</v>
      </c>
      <c r="D304" t="s">
        <v>59</v>
      </c>
      <c r="E304">
        <v>11.8394680023193</v>
      </c>
      <c r="F304">
        <v>2115</v>
      </c>
      <c r="G304">
        <v>117</v>
      </c>
    </row>
  </sheetData>
  <sortState ref="A2:G76">
    <sortCondition ref="D2:D76"/>
    <sortCondition ref="A2:A76"/>
    <sortCondition ref="B2:B76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EE5A-55F5-524A-ACDF-27971E85AB88}">
  <dimension ref="A1:Z400"/>
  <sheetViews>
    <sheetView topLeftCell="A133" workbookViewId="0">
      <selection activeCell="M4" sqref="M4:S12"/>
    </sheetView>
  </sheetViews>
  <sheetFormatPr baseColWidth="10" defaultRowHeight="16" x14ac:dyDescent="0.2"/>
  <cols>
    <col min="1" max="1" width="13.6640625" bestFit="1" customWidth="1"/>
    <col min="6" max="6" width="10.1640625" bestFit="1" customWidth="1"/>
    <col min="7" max="7" width="5.1640625" bestFit="1" customWidth="1"/>
    <col min="23" max="23" width="11.1640625" bestFit="1" customWidth="1"/>
    <col min="24" max="24" width="12.83203125" bestFit="1" customWidth="1"/>
    <col min="26" max="26" width="43.5" bestFit="1" customWidth="1"/>
  </cols>
  <sheetData>
    <row r="1" spans="1:26" x14ac:dyDescent="0.2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10</v>
      </c>
      <c r="I1" t="s">
        <v>34</v>
      </c>
      <c r="K1" t="s">
        <v>2</v>
      </c>
    </row>
    <row r="2" spans="1:26" x14ac:dyDescent="0.2">
      <c r="A2" t="s">
        <v>35</v>
      </c>
      <c r="B2">
        <v>6</v>
      </c>
      <c r="C2" t="s">
        <v>21</v>
      </c>
      <c r="D2" t="s">
        <v>1</v>
      </c>
      <c r="E2">
        <v>36.5559241771698</v>
      </c>
      <c r="F2">
        <v>15873</v>
      </c>
      <c r="G2">
        <v>1974</v>
      </c>
      <c r="K2" t="s">
        <v>1</v>
      </c>
      <c r="N2" t="s">
        <v>60</v>
      </c>
      <c r="Q2" t="s">
        <v>61</v>
      </c>
      <c r="T2" t="s">
        <v>3</v>
      </c>
      <c r="W2" t="s">
        <v>12</v>
      </c>
      <c r="X2" t="s">
        <v>8</v>
      </c>
      <c r="Z2" t="s">
        <v>13</v>
      </c>
    </row>
    <row r="3" spans="1:26" x14ac:dyDescent="0.2">
      <c r="A3" t="s">
        <v>0</v>
      </c>
      <c r="B3" t="s">
        <v>14</v>
      </c>
      <c r="C3" t="s">
        <v>15</v>
      </c>
      <c r="D3" t="s">
        <v>16</v>
      </c>
      <c r="E3" t="s">
        <v>17</v>
      </c>
      <c r="I3" t="s">
        <v>0</v>
      </c>
      <c r="J3" t="s">
        <v>9</v>
      </c>
      <c r="K3" t="s">
        <v>4</v>
      </c>
      <c r="L3" t="s">
        <v>5</v>
      </c>
      <c r="M3" t="s">
        <v>6</v>
      </c>
      <c r="N3" t="s">
        <v>4</v>
      </c>
      <c r="O3" t="s">
        <v>5</v>
      </c>
      <c r="P3" t="s">
        <v>6</v>
      </c>
      <c r="Q3" t="s">
        <v>4</v>
      </c>
      <c r="R3" t="s">
        <v>5</v>
      </c>
      <c r="S3" t="s">
        <v>6</v>
      </c>
      <c r="T3" t="s">
        <v>7</v>
      </c>
      <c r="U3" t="s">
        <v>5</v>
      </c>
    </row>
    <row r="4" spans="1:26" x14ac:dyDescent="0.2">
      <c r="A4" t="s">
        <v>35</v>
      </c>
      <c r="B4">
        <v>6</v>
      </c>
      <c r="C4" t="s">
        <v>22</v>
      </c>
      <c r="D4" t="s">
        <v>23</v>
      </c>
      <c r="E4">
        <v>600.01397204399098</v>
      </c>
      <c r="F4">
        <v>210</v>
      </c>
      <c r="I4" t="str">
        <f>CONCATENATE($I$1,"1")</f>
        <v>pard300_1</v>
      </c>
      <c r="J4">
        <v>6</v>
      </c>
      <c r="K4" s="1">
        <f>SUMIFS(E:E,D:D,"OA",B:B,J4,A:A,I4)</f>
        <v>36.5559241771698</v>
      </c>
      <c r="L4">
        <f>SUMIFS(F:F,A:A,I4,B:B,J4,D:D,"OA")</f>
        <v>15873</v>
      </c>
      <c r="M4" s="2">
        <f>SUMIFS(G:G,D:D,"OA",A:A,I4,B:B,J4)</f>
        <v>1974</v>
      </c>
      <c r="N4" s="3">
        <f>SUMIFS(E:E,D:D,"OA Kelley",B:B,J4,A:A,I4)</f>
        <v>68.441443920135498</v>
      </c>
      <c r="O4" s="2">
        <f>SUMIFS(F:F,A:A,I4,B:B,J4,D:D,"OA Kelley")</f>
        <v>14128</v>
      </c>
      <c r="P4" s="2">
        <f>SUMIFS(G:G,D:D,"OA Kelley",A:A,I4,B:B,J4)</f>
        <v>1864</v>
      </c>
      <c r="Q4" s="3">
        <f>SUMIFS(E:E,D:D,"OA Kelley 50",B:B,J4,A:A,I4)</f>
        <v>67.678839921951294</v>
      </c>
      <c r="R4" s="2">
        <f>SUMIFS(F:F,A:A,I4,B:B,J4,D:D,"OA Kelley 50")</f>
        <v>10923</v>
      </c>
      <c r="S4" s="2">
        <f>SUMIFS(G:G,D:D,"OA Kelley 50",A:A,I4,B:B,J4)</f>
        <v>1295</v>
      </c>
      <c r="T4">
        <f>SUMIFS(E:E,A:A,I4,B:B,J4,D:D,"CPLEX MISOCP")</f>
        <v>600.01397204399098</v>
      </c>
      <c r="U4">
        <f>SUMIFS(F:F,A:A,I4,B:B,J4,D:D,"CPLEX MISOCP")</f>
        <v>210</v>
      </c>
      <c r="W4">
        <f t="shared" ref="W4:W53" si="0">COUNTIFS(D:D,"OA",B:B,J4,A:A,I4)</f>
        <v>1</v>
      </c>
      <c r="X4">
        <f t="shared" ref="X4:X53" si="1">COUNTIFS(D:D,"CPLEX MISOCP",B:B,J4,A:A,I4)</f>
        <v>1</v>
      </c>
      <c r="Z4" t="str">
        <f>CONCATENATE(I4," &amp; ",J4, " &amp; ", ROUND(K4,2), " &amp; ", L4, " &amp; ", M4, " &amp; ",  ROUND(N4,2), " &amp; ", O4, " &amp; ", P4, " &amp; ", ROUND(Q4,2), " &amp; ", R4, " &amp; ", S4, " &amp; ",  ROUND(T4,2), " &amp; ", U4, "\\")</f>
        <v>pard300_1 &amp; 6 &amp; 36.56 &amp; 15873 &amp; 1974 &amp; 68.44 &amp; 14128 &amp; 1864 &amp; 67.68 &amp; 10923 &amp; 1295 &amp; 600.01 &amp; 210\\</v>
      </c>
    </row>
    <row r="5" spans="1:26" x14ac:dyDescent="0.2">
      <c r="A5" t="s">
        <v>0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I5" t="str">
        <f t="shared" ref="I5:I8" si="2">CONCATENATE($I$1,"1")</f>
        <v>pard300_1</v>
      </c>
      <c r="J5">
        <v>8</v>
      </c>
      <c r="K5" s="1">
        <f t="shared" ref="K5:K53" si="3">SUMIFS(E:E,D:D,"OA",B:B,J5,A:A,I5)</f>
        <v>158.83759188651999</v>
      </c>
      <c r="L5">
        <f t="shared" ref="L5:L53" si="4">SUMIFS(F:F,A:A,I5,B:B,J5,D:D,"OA")</f>
        <v>39648</v>
      </c>
      <c r="M5" s="2">
        <f t="shared" ref="M5:M53" si="5">SUMIFS(G:G,D:D,"OA",A:A,I5,B:B,J5)</f>
        <v>3412</v>
      </c>
      <c r="N5" s="3">
        <f t="shared" ref="N5:N53" si="6">SUMIFS(E:E,D:D,"OA Kelley",B:B,J5,A:A,I5)</f>
        <v>238.855963945388</v>
      </c>
      <c r="O5" s="2">
        <f t="shared" ref="O5:O53" si="7">SUMIFS(F:F,A:A,I5,B:B,J5,D:D,"OA Kelley")</f>
        <v>37828</v>
      </c>
      <c r="P5" s="2">
        <f t="shared" ref="P5:P53" si="8">SUMIFS(G:G,D:D,"OA Kelley",A:A,I5,B:B,J5)</f>
        <v>3320</v>
      </c>
      <c r="Q5" s="3">
        <f t="shared" ref="Q5:Q53" si="9">SUMIFS(E:E,D:D,"OA Kelley 50",B:B,J5,A:A,I5)</f>
        <v>193.792394161224</v>
      </c>
      <c r="R5" s="2">
        <f t="shared" ref="R5:R53" si="10">SUMIFS(F:F,A:A,I5,B:B,J5,D:D,"OA Kelley 50")</f>
        <v>29555</v>
      </c>
      <c r="S5" s="2">
        <f t="shared" ref="S5:S53" si="11">SUMIFS(G:G,D:D,"OA Kelley 50",A:A,I5,B:B,J5)</f>
        <v>2508</v>
      </c>
      <c r="T5">
        <f t="shared" ref="T5:T53" si="12">SUMIFS(E:E,A:A,I5,B:B,J5,D:D,"CPLEX MISOCP")</f>
        <v>600.004048109054</v>
      </c>
      <c r="U5">
        <f t="shared" ref="U5:U53" si="13">SUMIFS(F:F,A:A,I5,B:B,J5,D:D,"CPLEX MISOCP")</f>
        <v>190</v>
      </c>
      <c r="W5">
        <f t="shared" si="0"/>
        <v>1</v>
      </c>
      <c r="X5">
        <f t="shared" si="1"/>
        <v>1</v>
      </c>
      <c r="Z5" t="str">
        <f t="shared" ref="Z5:Z7" si="14">CONCATENATE(I5," &amp; ",J5, " &amp; ", ROUND(K5,2), " &amp; ", L5, " &amp; ", M5, " &amp; ",  ROUND(N5,2), " &amp; ", O5, " &amp; ", P5, " &amp; ", ROUND(Q5,2), " &amp; ", R5, " &amp; ", S5, " &amp; ",  ROUND(T5,2), " &amp; ", U5, "\\")</f>
        <v>pard300_1 &amp; 8 &amp; 158.84 &amp; 39648 &amp; 3412 &amp; 238.86 &amp; 37828 &amp; 3320 &amp; 193.79 &amp; 29555 &amp; 2508 &amp; 600 &amp; 190\\</v>
      </c>
    </row>
    <row r="6" spans="1:26" x14ac:dyDescent="0.2">
      <c r="A6" t="s">
        <v>35</v>
      </c>
      <c r="B6">
        <v>8</v>
      </c>
      <c r="C6" t="s">
        <v>21</v>
      </c>
      <c r="D6" t="s">
        <v>1</v>
      </c>
      <c r="E6">
        <v>158.83759188651999</v>
      </c>
      <c r="F6">
        <v>39648</v>
      </c>
      <c r="G6">
        <v>3412</v>
      </c>
      <c r="I6" t="str">
        <f t="shared" si="2"/>
        <v>pard300_1</v>
      </c>
      <c r="J6">
        <v>10</v>
      </c>
      <c r="K6" s="1">
        <f t="shared" si="3"/>
        <v>108.34296393394401</v>
      </c>
      <c r="L6">
        <f t="shared" si="4"/>
        <v>60555</v>
      </c>
      <c r="M6" s="2">
        <f t="shared" si="5"/>
        <v>2593</v>
      </c>
      <c r="N6" s="3">
        <f t="shared" si="6"/>
        <v>94.631411075591998</v>
      </c>
      <c r="O6" s="2">
        <f t="shared" si="7"/>
        <v>46351</v>
      </c>
      <c r="P6" s="2">
        <f t="shared" si="8"/>
        <v>2053</v>
      </c>
      <c r="Q6" s="3">
        <f t="shared" si="9"/>
        <v>59.744424104690502</v>
      </c>
      <c r="R6" s="2">
        <f t="shared" si="10"/>
        <v>23273</v>
      </c>
      <c r="S6" s="2">
        <f t="shared" si="11"/>
        <v>1243</v>
      </c>
      <c r="T6">
        <f t="shared" si="12"/>
        <v>600.001384973526</v>
      </c>
      <c r="U6">
        <f t="shared" si="13"/>
        <v>230</v>
      </c>
      <c r="W6">
        <f t="shared" si="0"/>
        <v>1</v>
      </c>
      <c r="X6">
        <f t="shared" si="1"/>
        <v>1</v>
      </c>
      <c r="Z6" t="str">
        <f t="shared" si="14"/>
        <v>pard300_1 &amp; 10 &amp; 108.34 &amp; 60555 &amp; 2593 &amp; 94.63 &amp; 46351 &amp; 2053 &amp; 59.74 &amp; 23273 &amp; 1243 &amp; 600 &amp; 230\\</v>
      </c>
    </row>
    <row r="7" spans="1:26" x14ac:dyDescent="0.2">
      <c r="A7" t="s">
        <v>0</v>
      </c>
      <c r="B7" t="s">
        <v>14</v>
      </c>
      <c r="C7" t="s">
        <v>15</v>
      </c>
      <c r="D7" t="s">
        <v>16</v>
      </c>
      <c r="E7" t="s">
        <v>17</v>
      </c>
      <c r="I7" t="str">
        <f t="shared" si="2"/>
        <v>pard300_1</v>
      </c>
      <c r="J7">
        <v>12</v>
      </c>
      <c r="K7" s="1">
        <f t="shared" si="3"/>
        <v>17.931136846542302</v>
      </c>
      <c r="L7">
        <f t="shared" si="4"/>
        <v>17074</v>
      </c>
      <c r="M7" s="2">
        <f t="shared" si="5"/>
        <v>523</v>
      </c>
      <c r="N7" s="3">
        <f t="shared" si="6"/>
        <v>8.2292509078979492</v>
      </c>
      <c r="O7" s="2">
        <f t="shared" si="7"/>
        <v>5390</v>
      </c>
      <c r="P7" s="2">
        <f t="shared" si="8"/>
        <v>219</v>
      </c>
      <c r="Q7" s="3">
        <f t="shared" si="9"/>
        <v>16.300558090209901</v>
      </c>
      <c r="R7" s="2">
        <f t="shared" si="10"/>
        <v>1567</v>
      </c>
      <c r="S7" s="2">
        <f t="shared" si="11"/>
        <v>73</v>
      </c>
      <c r="T7">
        <f t="shared" si="12"/>
        <v>261.26396203041003</v>
      </c>
      <c r="U7">
        <f t="shared" si="13"/>
        <v>101</v>
      </c>
      <c r="W7">
        <f t="shared" si="0"/>
        <v>1</v>
      </c>
      <c r="X7">
        <f t="shared" si="1"/>
        <v>1</v>
      </c>
      <c r="Z7" t="str">
        <f t="shared" si="14"/>
        <v>pard300_1 &amp; 12 &amp; 17.93 &amp; 17074 &amp; 523 &amp; 8.23 &amp; 5390 &amp; 219 &amp; 16.3 &amp; 1567 &amp; 73 &amp; 261.26 &amp; 101\\</v>
      </c>
    </row>
    <row r="8" spans="1:26" x14ac:dyDescent="0.2">
      <c r="A8" t="s">
        <v>35</v>
      </c>
      <c r="B8">
        <v>8</v>
      </c>
      <c r="C8" t="s">
        <v>22</v>
      </c>
      <c r="D8" t="s">
        <v>23</v>
      </c>
      <c r="E8">
        <v>600.004048109054</v>
      </c>
      <c r="F8">
        <v>190</v>
      </c>
      <c r="I8" t="str">
        <f t="shared" si="2"/>
        <v>pard300_1</v>
      </c>
      <c r="J8">
        <v>300</v>
      </c>
      <c r="K8" s="1">
        <f t="shared" si="3"/>
        <v>33.847783088683997</v>
      </c>
      <c r="L8">
        <f t="shared" si="4"/>
        <v>29031</v>
      </c>
      <c r="M8" s="2">
        <f t="shared" si="5"/>
        <v>483</v>
      </c>
      <c r="N8" s="3">
        <f t="shared" si="6"/>
        <v>26.444476127624501</v>
      </c>
      <c r="O8" s="2">
        <f t="shared" si="7"/>
        <v>15487</v>
      </c>
      <c r="P8" s="2">
        <f t="shared" si="8"/>
        <v>419</v>
      </c>
      <c r="Q8" s="3">
        <f t="shared" si="9"/>
        <v>44.406011104583698</v>
      </c>
      <c r="R8" s="2">
        <f t="shared" si="10"/>
        <v>15064</v>
      </c>
      <c r="S8" s="2">
        <f t="shared" si="11"/>
        <v>418</v>
      </c>
      <c r="T8">
        <f t="shared" si="12"/>
        <v>600.00323200225796</v>
      </c>
      <c r="U8">
        <f t="shared" si="13"/>
        <v>206</v>
      </c>
      <c r="W8">
        <f t="shared" si="0"/>
        <v>1</v>
      </c>
      <c r="X8">
        <f t="shared" si="1"/>
        <v>1</v>
      </c>
      <c r="Z8" t="str">
        <f>CONCATENATE(I8," &amp; ","nc", " &amp; ", ROUND(K8,2), " &amp; ", L8, " &amp; ", M8, " &amp; ",  ROUND(N8,2), " &amp; ", O8, " &amp; ", P8, " &amp; ", ROUND(Q8,2), " &amp; ", R8, " &amp; ", S8, " &amp; ",  ROUND(T8,2), " &amp; ", U8, "\\")</f>
        <v>pard300_1 &amp; nc &amp; 33.85 &amp; 29031 &amp; 483 &amp; 26.44 &amp; 15487 &amp; 419 &amp; 44.41 &amp; 15064 &amp; 418 &amp; 600 &amp; 206\\</v>
      </c>
    </row>
    <row r="9" spans="1:26" x14ac:dyDescent="0.2">
      <c r="A9" t="s">
        <v>0</v>
      </c>
      <c r="B9" t="s">
        <v>14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I9" t="str">
        <f>CONCATENATE($I$1,"2")</f>
        <v>pard300_2</v>
      </c>
      <c r="J9">
        <v>6</v>
      </c>
      <c r="K9" s="1">
        <f t="shared" si="3"/>
        <v>13.867097139358499</v>
      </c>
      <c r="L9">
        <f t="shared" si="4"/>
        <v>7583</v>
      </c>
      <c r="M9" s="2">
        <f t="shared" si="5"/>
        <v>935</v>
      </c>
      <c r="N9" s="3">
        <f t="shared" si="6"/>
        <v>22.342773914337101</v>
      </c>
      <c r="O9" s="2">
        <f t="shared" si="7"/>
        <v>6805</v>
      </c>
      <c r="P9" s="2">
        <f t="shared" si="8"/>
        <v>819</v>
      </c>
      <c r="Q9" s="3">
        <f t="shared" si="9"/>
        <v>28.029417991638098</v>
      </c>
      <c r="R9" s="2">
        <f t="shared" si="10"/>
        <v>4563</v>
      </c>
      <c r="S9" s="2">
        <f t="shared" si="11"/>
        <v>496</v>
      </c>
      <c r="T9">
        <f t="shared" si="12"/>
        <v>346.50252103805502</v>
      </c>
      <c r="U9">
        <f t="shared" si="13"/>
        <v>117</v>
      </c>
      <c r="W9">
        <f t="shared" si="0"/>
        <v>1</v>
      </c>
      <c r="X9">
        <f t="shared" si="1"/>
        <v>1</v>
      </c>
      <c r="Z9" t="str">
        <f>CONCATENATE(I9," &amp; ",J9, " &amp; ", ROUND(K9,2), " &amp; ", L9, " &amp; ", M9, " &amp; ",  ROUND(N9,2), " &amp; ", O9, " &amp; ", P9, " &amp; ", ROUND(Q9,2), " &amp; ", R9, " &amp; ", S9, " &amp; ",  ROUND(T9,2), " &amp; ", U9, "\\")</f>
        <v>pard300_2 &amp; 6 &amp; 13.87 &amp; 7583 &amp; 935 &amp; 22.34 &amp; 6805 &amp; 819 &amp; 28.03 &amp; 4563 &amp; 496 &amp; 346.5 &amp; 117\\</v>
      </c>
    </row>
    <row r="10" spans="1:26" x14ac:dyDescent="0.2">
      <c r="A10" t="s">
        <v>35</v>
      </c>
      <c r="B10">
        <v>10</v>
      </c>
      <c r="C10" t="s">
        <v>21</v>
      </c>
      <c r="D10" t="s">
        <v>1</v>
      </c>
      <c r="E10">
        <v>108.34296393394401</v>
      </c>
      <c r="F10">
        <v>60555</v>
      </c>
      <c r="G10">
        <v>2593</v>
      </c>
      <c r="I10" t="str">
        <f t="shared" ref="I10:I13" si="15">CONCATENATE($I$1,"2")</f>
        <v>pard300_2</v>
      </c>
      <c r="J10">
        <v>8</v>
      </c>
      <c r="K10" s="1">
        <f t="shared" si="3"/>
        <v>37.762860059738102</v>
      </c>
      <c r="L10">
        <f t="shared" si="4"/>
        <v>28906</v>
      </c>
      <c r="M10" s="2">
        <f t="shared" si="5"/>
        <v>1962</v>
      </c>
      <c r="N10" s="3">
        <f t="shared" si="6"/>
        <v>68.530368089675903</v>
      </c>
      <c r="O10" s="2">
        <f t="shared" si="7"/>
        <v>21473</v>
      </c>
      <c r="P10" s="2">
        <f t="shared" si="8"/>
        <v>1753</v>
      </c>
      <c r="Q10" s="3">
        <f t="shared" si="9"/>
        <v>66.808803081512394</v>
      </c>
      <c r="R10" s="2">
        <f t="shared" si="10"/>
        <v>16060</v>
      </c>
      <c r="S10" s="2">
        <f t="shared" si="11"/>
        <v>1254</v>
      </c>
      <c r="T10">
        <f t="shared" si="12"/>
        <v>582.95579385757401</v>
      </c>
      <c r="U10">
        <f t="shared" si="13"/>
        <v>233</v>
      </c>
      <c r="W10">
        <f t="shared" si="0"/>
        <v>1</v>
      </c>
      <c r="X10">
        <f t="shared" si="1"/>
        <v>1</v>
      </c>
      <c r="Z10" t="str">
        <f t="shared" ref="Z10:Z12" si="16">CONCATENATE(I10," &amp; ",J10, " &amp; ", ROUND(K10,2), " &amp; ", L10, " &amp; ", M10, " &amp; ",  ROUND(N10,2), " &amp; ", O10, " &amp; ", P10, " &amp; ", ROUND(Q10,2), " &amp; ", R10, " &amp; ", S10, " &amp; ",  ROUND(T10,2), " &amp; ", U10, "\\")</f>
        <v>pard300_2 &amp; 8 &amp; 37.76 &amp; 28906 &amp; 1962 &amp; 68.53 &amp; 21473 &amp; 1753 &amp; 66.81 &amp; 16060 &amp; 1254 &amp; 582.96 &amp; 233\\</v>
      </c>
    </row>
    <row r="11" spans="1:26" x14ac:dyDescent="0.2">
      <c r="A11" t="s">
        <v>0</v>
      </c>
      <c r="B11" t="s">
        <v>14</v>
      </c>
      <c r="C11" t="s">
        <v>15</v>
      </c>
      <c r="D11" t="s">
        <v>16</v>
      </c>
      <c r="E11" t="s">
        <v>17</v>
      </c>
      <c r="I11" t="str">
        <f t="shared" si="15"/>
        <v>pard300_2</v>
      </c>
      <c r="J11">
        <v>10</v>
      </c>
      <c r="K11" s="1">
        <f t="shared" si="3"/>
        <v>64.5122678279876</v>
      </c>
      <c r="L11">
        <f t="shared" si="4"/>
        <v>41317</v>
      </c>
      <c r="M11" s="2">
        <f t="shared" si="5"/>
        <v>2247</v>
      </c>
      <c r="N11" s="3">
        <f t="shared" si="6"/>
        <v>44.763283967971802</v>
      </c>
      <c r="O11" s="2">
        <f t="shared" si="7"/>
        <v>30231</v>
      </c>
      <c r="P11" s="2">
        <f t="shared" si="8"/>
        <v>1237</v>
      </c>
      <c r="Q11" s="3">
        <f t="shared" si="9"/>
        <v>439.90817308425898</v>
      </c>
      <c r="R11" s="2">
        <f t="shared" si="10"/>
        <v>15460</v>
      </c>
      <c r="S11" s="2">
        <f t="shared" si="11"/>
        <v>658</v>
      </c>
      <c r="T11">
        <f t="shared" si="12"/>
        <v>562.68599104881196</v>
      </c>
      <c r="U11">
        <f t="shared" si="13"/>
        <v>216</v>
      </c>
      <c r="W11">
        <f t="shared" si="0"/>
        <v>1</v>
      </c>
      <c r="X11">
        <f t="shared" si="1"/>
        <v>1</v>
      </c>
      <c r="Z11" t="str">
        <f t="shared" si="16"/>
        <v>pard300_2 &amp; 10 &amp; 64.51 &amp; 41317 &amp; 2247 &amp; 44.76 &amp; 30231 &amp; 1237 &amp; 439.91 &amp; 15460 &amp; 658 &amp; 562.69 &amp; 216\\</v>
      </c>
    </row>
    <row r="12" spans="1:26" x14ac:dyDescent="0.2">
      <c r="A12" t="s">
        <v>35</v>
      </c>
      <c r="B12">
        <v>10</v>
      </c>
      <c r="C12" t="s">
        <v>22</v>
      </c>
      <c r="D12" t="s">
        <v>23</v>
      </c>
      <c r="E12">
        <v>600.001384973526</v>
      </c>
      <c r="F12">
        <v>230</v>
      </c>
      <c r="I12" t="str">
        <f t="shared" si="15"/>
        <v>pard300_2</v>
      </c>
      <c r="J12">
        <v>12</v>
      </c>
      <c r="K12" s="1">
        <f t="shared" si="3"/>
        <v>2.76272392272949</v>
      </c>
      <c r="L12">
        <f t="shared" si="4"/>
        <v>4355</v>
      </c>
      <c r="M12" s="2">
        <f t="shared" si="5"/>
        <v>115</v>
      </c>
      <c r="N12" s="3">
        <f t="shared" si="6"/>
        <v>0.771919965744018</v>
      </c>
      <c r="O12" s="2">
        <f t="shared" si="7"/>
        <v>532</v>
      </c>
      <c r="P12" s="2">
        <f t="shared" si="8"/>
        <v>26</v>
      </c>
      <c r="Q12" s="3">
        <f t="shared" si="9"/>
        <v>12.224796056747399</v>
      </c>
      <c r="R12" s="2">
        <f t="shared" si="10"/>
        <v>194</v>
      </c>
      <c r="S12" s="2">
        <f t="shared" si="11"/>
        <v>4</v>
      </c>
      <c r="T12">
        <f t="shared" si="12"/>
        <v>172.30324316024701</v>
      </c>
      <c r="U12">
        <f t="shared" si="13"/>
        <v>57</v>
      </c>
      <c r="W12">
        <f t="shared" si="0"/>
        <v>1</v>
      </c>
      <c r="X12">
        <f t="shared" si="1"/>
        <v>1</v>
      </c>
      <c r="Z12" t="str">
        <f t="shared" si="16"/>
        <v>pard300_2 &amp; 12 &amp; 2.76 &amp; 4355 &amp; 115 &amp; 0.77 &amp; 532 &amp; 26 &amp; 12.22 &amp; 194 &amp; 4 &amp; 172.3 &amp; 57\\</v>
      </c>
    </row>
    <row r="13" spans="1:26" x14ac:dyDescent="0.2">
      <c r="A13" t="s">
        <v>0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I13" t="str">
        <f t="shared" si="15"/>
        <v>pard300_2</v>
      </c>
      <c r="J13">
        <v>300</v>
      </c>
      <c r="K13" s="1">
        <f t="shared" si="3"/>
        <v>4.9111771583557102</v>
      </c>
      <c r="L13">
        <f t="shared" si="4"/>
        <v>7423</v>
      </c>
      <c r="M13">
        <f t="shared" si="5"/>
        <v>123</v>
      </c>
      <c r="N13" s="1">
        <f t="shared" si="6"/>
        <v>1.91475009918212</v>
      </c>
      <c r="O13">
        <f t="shared" si="7"/>
        <v>1441</v>
      </c>
      <c r="P13">
        <f t="shared" si="8"/>
        <v>63</v>
      </c>
      <c r="Q13" s="1">
        <f t="shared" si="9"/>
        <v>13.286398887634199</v>
      </c>
      <c r="R13">
        <f t="shared" si="10"/>
        <v>739</v>
      </c>
      <c r="S13">
        <f t="shared" si="11"/>
        <v>38</v>
      </c>
      <c r="T13">
        <f t="shared" si="12"/>
        <v>600.01518106460503</v>
      </c>
      <c r="U13">
        <f t="shared" si="13"/>
        <v>250</v>
      </c>
      <c r="W13">
        <f t="shared" si="0"/>
        <v>1</v>
      </c>
      <c r="X13">
        <f t="shared" si="1"/>
        <v>1</v>
      </c>
      <c r="Z13" t="str">
        <f>CONCATENATE(I13," &amp; ","nc", " &amp; ", ROUND(K13,2), " &amp; ", L13, " &amp; ", M13, " &amp; ",  ROUND(N13,2), " &amp; ", O13, " &amp; ", P13, " &amp; ", ROUND(Q13,2), " &amp; ", R13, " &amp; ", S13, " &amp; ",  ROUND(T13,2), " &amp; ", U13, "\\")</f>
        <v>pard300_2 &amp; nc &amp; 4.91 &amp; 7423 &amp; 123 &amp; 1.91 &amp; 1441 &amp; 63 &amp; 13.29 &amp; 739 &amp; 38 &amp; 600.02 &amp; 250\\</v>
      </c>
    </row>
    <row r="14" spans="1:26" x14ac:dyDescent="0.2">
      <c r="A14" t="s">
        <v>35</v>
      </c>
      <c r="B14">
        <v>12</v>
      </c>
      <c r="C14" t="s">
        <v>21</v>
      </c>
      <c r="D14" t="s">
        <v>1</v>
      </c>
      <c r="E14">
        <v>17.931136846542302</v>
      </c>
      <c r="F14">
        <v>17074</v>
      </c>
      <c r="G14">
        <v>523</v>
      </c>
      <c r="I14" t="str">
        <f>CONCATENATE($I$1,"3")</f>
        <v>pard300_3</v>
      </c>
      <c r="J14">
        <v>6</v>
      </c>
      <c r="K14" s="1">
        <f t="shared" si="3"/>
        <v>33.2381138801574</v>
      </c>
      <c r="L14">
        <f t="shared" si="4"/>
        <v>21535</v>
      </c>
      <c r="M14">
        <f t="shared" si="5"/>
        <v>1205</v>
      </c>
      <c r="N14" s="1">
        <f t="shared" si="6"/>
        <v>47.624844789504998</v>
      </c>
      <c r="O14">
        <f t="shared" si="7"/>
        <v>20053</v>
      </c>
      <c r="P14">
        <f t="shared" si="8"/>
        <v>1137</v>
      </c>
      <c r="Q14" s="1">
        <f t="shared" si="9"/>
        <v>52.852317810058501</v>
      </c>
      <c r="R14">
        <f t="shared" si="10"/>
        <v>13419</v>
      </c>
      <c r="S14">
        <f t="shared" si="11"/>
        <v>793</v>
      </c>
      <c r="T14">
        <f t="shared" si="12"/>
        <v>600.02407407760597</v>
      </c>
      <c r="U14">
        <f t="shared" si="13"/>
        <v>210</v>
      </c>
      <c r="W14">
        <f t="shared" si="0"/>
        <v>1</v>
      </c>
      <c r="X14">
        <f t="shared" si="1"/>
        <v>1</v>
      </c>
      <c r="Z14" t="str">
        <f>CONCATENATE(I14," &amp; ",J14, " &amp; ", ROUND(K14,2), " &amp; ", L14, " &amp; ", M14, " &amp; ",  ROUND(N14,2), " &amp; ", O14, " &amp; ", P14, " &amp; ", ROUND(Q14,2), " &amp; ", R14, " &amp; ", S14, " &amp; ",  ROUND(T14,2), " &amp; ", U14, "\\")</f>
        <v>pard300_3 &amp; 6 &amp; 33.24 &amp; 21535 &amp; 1205 &amp; 47.62 &amp; 20053 &amp; 1137 &amp; 52.85 &amp; 13419 &amp; 793 &amp; 600.02 &amp; 210\\</v>
      </c>
    </row>
    <row r="15" spans="1:26" x14ac:dyDescent="0.2">
      <c r="A15" t="s">
        <v>0</v>
      </c>
      <c r="B15" t="s">
        <v>14</v>
      </c>
      <c r="C15" t="s">
        <v>15</v>
      </c>
      <c r="D15" t="s">
        <v>16</v>
      </c>
      <c r="E15" t="s">
        <v>17</v>
      </c>
      <c r="I15" t="str">
        <f t="shared" ref="I15:I18" si="17">CONCATENATE($I$1,"3")</f>
        <v>pard300_3</v>
      </c>
      <c r="J15">
        <v>8</v>
      </c>
      <c r="K15" s="1">
        <f t="shared" si="3"/>
        <v>34.0016350746154</v>
      </c>
      <c r="L15">
        <f t="shared" si="4"/>
        <v>37918</v>
      </c>
      <c r="M15">
        <f t="shared" si="5"/>
        <v>1410</v>
      </c>
      <c r="N15" s="1">
        <f t="shared" si="6"/>
        <v>52.8536791801452</v>
      </c>
      <c r="O15">
        <f t="shared" si="7"/>
        <v>35635</v>
      </c>
      <c r="P15">
        <f t="shared" si="8"/>
        <v>1293</v>
      </c>
      <c r="Q15" s="1">
        <f t="shared" si="9"/>
        <v>38.115768194198601</v>
      </c>
      <c r="R15">
        <f t="shared" si="10"/>
        <v>21616</v>
      </c>
      <c r="S15">
        <f t="shared" si="11"/>
        <v>668</v>
      </c>
      <c r="T15">
        <f t="shared" si="12"/>
        <v>600.00823211669899</v>
      </c>
      <c r="U15">
        <f t="shared" si="13"/>
        <v>206</v>
      </c>
      <c r="W15">
        <f t="shared" si="0"/>
        <v>1</v>
      </c>
      <c r="X15">
        <f t="shared" si="1"/>
        <v>1</v>
      </c>
      <c r="Z15" t="str">
        <f t="shared" ref="Z15:Z17" si="18">CONCATENATE(I15," &amp; ",J15, " &amp; ", ROUND(K15,2), " &amp; ", L15, " &amp; ", M15, " &amp; ",  ROUND(N15,2), " &amp; ", O15, " &amp; ", P15, " &amp; ", ROUND(Q15,2), " &amp; ", R15, " &amp; ", S15, " &amp; ",  ROUND(T15,2), " &amp; ", U15, "\\")</f>
        <v>pard300_3 &amp; 8 &amp; 34 &amp; 37918 &amp; 1410 &amp; 52.85 &amp; 35635 &amp; 1293 &amp; 38.12 &amp; 21616 &amp; 668 &amp; 600.01 &amp; 206\\</v>
      </c>
    </row>
    <row r="16" spans="1:26" x14ac:dyDescent="0.2">
      <c r="A16" t="s">
        <v>35</v>
      </c>
      <c r="B16">
        <v>12</v>
      </c>
      <c r="C16" t="s">
        <v>22</v>
      </c>
      <c r="D16" t="s">
        <v>23</v>
      </c>
      <c r="E16">
        <v>261.26396203041003</v>
      </c>
      <c r="F16">
        <v>101</v>
      </c>
      <c r="I16" t="str">
        <f t="shared" si="17"/>
        <v>pard300_3</v>
      </c>
      <c r="J16">
        <v>10</v>
      </c>
      <c r="K16" s="1">
        <f t="shared" si="3"/>
        <v>254.374500989913</v>
      </c>
      <c r="L16">
        <f t="shared" si="4"/>
        <v>128452</v>
      </c>
      <c r="M16">
        <f t="shared" si="5"/>
        <v>3526</v>
      </c>
      <c r="N16" s="1">
        <f t="shared" si="6"/>
        <v>283.17362308502197</v>
      </c>
      <c r="O16">
        <f t="shared" si="7"/>
        <v>103689</v>
      </c>
      <c r="P16">
        <f t="shared" si="8"/>
        <v>3114</v>
      </c>
      <c r="Q16" s="1">
        <f t="shared" si="9"/>
        <v>287.95742821693398</v>
      </c>
      <c r="R16">
        <f t="shared" si="10"/>
        <v>111982</v>
      </c>
      <c r="S16">
        <f t="shared" si="11"/>
        <v>2502</v>
      </c>
      <c r="T16">
        <f t="shared" si="12"/>
        <v>600.00990796089104</v>
      </c>
      <c r="U16">
        <f t="shared" si="13"/>
        <v>210</v>
      </c>
      <c r="W16">
        <f t="shared" si="0"/>
        <v>1</v>
      </c>
      <c r="X16">
        <f t="shared" si="1"/>
        <v>1</v>
      </c>
      <c r="Z16" t="str">
        <f t="shared" si="18"/>
        <v>pard300_3 &amp; 10 &amp; 254.37 &amp; 128452 &amp; 3526 &amp; 283.17 &amp; 103689 &amp; 3114 &amp; 287.96 &amp; 111982 &amp; 2502 &amp; 600.01 &amp; 210\\</v>
      </c>
    </row>
    <row r="17" spans="1:26" x14ac:dyDescent="0.2">
      <c r="A17" t="s">
        <v>0</v>
      </c>
      <c r="B17" t="s">
        <v>14</v>
      </c>
      <c r="C17" t="s">
        <v>15</v>
      </c>
      <c r="D17" t="s">
        <v>16</v>
      </c>
      <c r="E17" t="s">
        <v>17</v>
      </c>
      <c r="F17" t="s">
        <v>18</v>
      </c>
      <c r="G17" t="s">
        <v>19</v>
      </c>
      <c r="I17" t="str">
        <f t="shared" si="17"/>
        <v>pard300_3</v>
      </c>
      <c r="J17">
        <v>12</v>
      </c>
      <c r="K17" s="1">
        <f t="shared" si="3"/>
        <v>81.045429944991994</v>
      </c>
      <c r="L17">
        <f t="shared" si="4"/>
        <v>59468</v>
      </c>
      <c r="M17">
        <f t="shared" si="5"/>
        <v>342</v>
      </c>
      <c r="N17" s="1">
        <f t="shared" si="6"/>
        <v>4.4975128173828098</v>
      </c>
      <c r="O17">
        <f t="shared" si="7"/>
        <v>3607</v>
      </c>
      <c r="P17">
        <f t="shared" si="8"/>
        <v>84</v>
      </c>
      <c r="Q17" s="1">
        <f t="shared" si="9"/>
        <v>18.827832937240601</v>
      </c>
      <c r="R17">
        <f t="shared" si="10"/>
        <v>1144</v>
      </c>
      <c r="S17">
        <f t="shared" si="11"/>
        <v>47</v>
      </c>
      <c r="T17">
        <f t="shared" si="12"/>
        <v>600.00872707366898</v>
      </c>
      <c r="U17">
        <f t="shared" si="13"/>
        <v>295</v>
      </c>
      <c r="W17">
        <f t="shared" si="0"/>
        <v>1</v>
      </c>
      <c r="X17">
        <f t="shared" si="1"/>
        <v>1</v>
      </c>
      <c r="Z17" t="str">
        <f t="shared" si="18"/>
        <v>pard300_3 &amp; 12 &amp; 81.05 &amp; 59468 &amp; 342 &amp; 4.5 &amp; 3607 &amp; 84 &amp; 18.83 &amp; 1144 &amp; 47 &amp; 600.01 &amp; 295\\</v>
      </c>
    </row>
    <row r="18" spans="1:26" x14ac:dyDescent="0.2">
      <c r="A18" t="s">
        <v>35</v>
      </c>
      <c r="B18">
        <v>300</v>
      </c>
      <c r="C18" t="s">
        <v>21</v>
      </c>
      <c r="D18" t="s">
        <v>1</v>
      </c>
      <c r="E18">
        <v>33.847783088683997</v>
      </c>
      <c r="F18">
        <v>29031</v>
      </c>
      <c r="G18">
        <v>483</v>
      </c>
      <c r="I18" t="str">
        <f t="shared" si="17"/>
        <v>pard300_3</v>
      </c>
      <c r="J18">
        <v>300</v>
      </c>
      <c r="K18" s="1">
        <f t="shared" si="3"/>
        <v>77.3421177864074</v>
      </c>
      <c r="L18">
        <f t="shared" si="4"/>
        <v>58551</v>
      </c>
      <c r="M18">
        <f t="shared" si="5"/>
        <v>328</v>
      </c>
      <c r="N18" s="1">
        <f t="shared" si="6"/>
        <v>8.2615680694580007</v>
      </c>
      <c r="O18">
        <f t="shared" si="7"/>
        <v>5867</v>
      </c>
      <c r="P18">
        <f t="shared" si="8"/>
        <v>116</v>
      </c>
      <c r="Q18" s="1">
        <f t="shared" si="9"/>
        <v>25.159731149673402</v>
      </c>
      <c r="R18">
        <f t="shared" si="10"/>
        <v>5137</v>
      </c>
      <c r="S18">
        <f t="shared" si="11"/>
        <v>74</v>
      </c>
      <c r="T18">
        <f t="shared" si="12"/>
        <v>600.01174712181</v>
      </c>
      <c r="U18">
        <f t="shared" si="13"/>
        <v>206</v>
      </c>
      <c r="W18">
        <f t="shared" si="0"/>
        <v>1</v>
      </c>
      <c r="X18">
        <f t="shared" si="1"/>
        <v>1</v>
      </c>
      <c r="Z18" t="str">
        <f>CONCATENATE(I18," &amp; ","nc", " &amp; ", ROUND(K18,2), " &amp; ", L18, " &amp; ", M18, " &amp; ",  ROUND(N18,2), " &amp; ", O18, " &amp; ", P18, " &amp; ", ROUND(Q18,2), " &amp; ", R18, " &amp; ", S18, " &amp; ",  ROUND(T18,2), " &amp; ", U18, "\\")</f>
        <v>pard300_3 &amp; nc &amp; 77.34 &amp; 58551 &amp; 328 &amp; 8.26 &amp; 5867 &amp; 116 &amp; 25.16 &amp; 5137 &amp; 74 &amp; 600.01 &amp; 206\\</v>
      </c>
    </row>
    <row r="19" spans="1:26" x14ac:dyDescent="0.2">
      <c r="A19" t="s">
        <v>0</v>
      </c>
      <c r="B19" t="s">
        <v>14</v>
      </c>
      <c r="C19" t="s">
        <v>15</v>
      </c>
      <c r="D19" t="s">
        <v>16</v>
      </c>
      <c r="E19" t="s">
        <v>17</v>
      </c>
      <c r="I19" t="str">
        <f>CONCATENATE($I$1,"4")</f>
        <v>pard300_4</v>
      </c>
      <c r="J19">
        <v>6</v>
      </c>
      <c r="K19" s="1">
        <f t="shared" si="3"/>
        <v>51.464221954345703</v>
      </c>
      <c r="L19">
        <f t="shared" si="4"/>
        <v>18806</v>
      </c>
      <c r="M19">
        <f t="shared" si="5"/>
        <v>2255</v>
      </c>
      <c r="N19" s="1">
        <f t="shared" si="6"/>
        <v>55.4854090213775</v>
      </c>
      <c r="O19">
        <f t="shared" si="7"/>
        <v>18399</v>
      </c>
      <c r="P19">
        <f t="shared" si="8"/>
        <v>1849</v>
      </c>
      <c r="Q19" s="1">
        <f t="shared" si="9"/>
        <v>64.7685480117797</v>
      </c>
      <c r="R19">
        <f t="shared" si="10"/>
        <v>15926</v>
      </c>
      <c r="S19">
        <f t="shared" si="11"/>
        <v>1539</v>
      </c>
      <c r="T19">
        <f t="shared" si="12"/>
        <v>600.00433993339504</v>
      </c>
      <c r="U19">
        <f t="shared" si="13"/>
        <v>225</v>
      </c>
      <c r="W19">
        <f t="shared" si="0"/>
        <v>1</v>
      </c>
      <c r="X19">
        <f t="shared" si="1"/>
        <v>1</v>
      </c>
      <c r="Z19" t="str">
        <f>CONCATENATE(I19," &amp; ",J19, " &amp; ", ROUND(K19,2), " &amp; ", L19, " &amp; ", M19, " &amp; ",  ROUND(N19,2), " &amp; ", O19, " &amp; ", P19, " &amp; ", ROUND(Q19,2), " &amp; ", R19, " &amp; ", S19, " &amp; ",  ROUND(T19,2), " &amp; ", U19, "\\")</f>
        <v>pard300_4 &amp; 6 &amp; 51.46 &amp; 18806 &amp; 2255 &amp; 55.49 &amp; 18399 &amp; 1849 &amp; 64.77 &amp; 15926 &amp; 1539 &amp; 600 &amp; 225\\</v>
      </c>
    </row>
    <row r="20" spans="1:26" x14ac:dyDescent="0.2">
      <c r="A20" t="s">
        <v>35</v>
      </c>
      <c r="B20">
        <v>300</v>
      </c>
      <c r="C20" t="s">
        <v>22</v>
      </c>
      <c r="D20" t="s">
        <v>23</v>
      </c>
      <c r="E20">
        <v>600.00323200225796</v>
      </c>
      <c r="F20">
        <v>206</v>
      </c>
      <c r="I20" t="str">
        <f t="shared" ref="I20:I23" si="19">CONCATENATE($I$1,"4")</f>
        <v>pard300_4</v>
      </c>
      <c r="J20">
        <v>8</v>
      </c>
      <c r="K20" s="1">
        <f t="shared" si="3"/>
        <v>75.717870950698796</v>
      </c>
      <c r="L20">
        <f t="shared" si="4"/>
        <v>39831</v>
      </c>
      <c r="M20">
        <f t="shared" si="5"/>
        <v>3192</v>
      </c>
      <c r="N20" s="1">
        <f t="shared" si="6"/>
        <v>161.30468416213901</v>
      </c>
      <c r="O20">
        <f t="shared" si="7"/>
        <v>45045</v>
      </c>
      <c r="P20">
        <f t="shared" si="8"/>
        <v>3108</v>
      </c>
      <c r="Q20" s="1">
        <f t="shared" si="9"/>
        <v>154.50503492355301</v>
      </c>
      <c r="R20">
        <f t="shared" si="10"/>
        <v>36935</v>
      </c>
      <c r="S20">
        <f t="shared" si="11"/>
        <v>2611</v>
      </c>
      <c r="T20">
        <f t="shared" si="12"/>
        <v>600.00957298278797</v>
      </c>
      <c r="U20">
        <f t="shared" si="13"/>
        <v>224</v>
      </c>
      <c r="W20">
        <f t="shared" si="0"/>
        <v>1</v>
      </c>
      <c r="X20">
        <f t="shared" si="1"/>
        <v>1</v>
      </c>
      <c r="Z20" t="str">
        <f t="shared" ref="Z20:Z22" si="20">CONCATENATE(I20," &amp; ",J20, " &amp; ", ROUND(K20,2), " &amp; ", L20, " &amp; ", M20, " &amp; ",  ROUND(N20,2), " &amp; ", O20, " &amp; ", P20, " &amp; ", ROUND(Q20,2), " &amp; ", R20, " &amp; ", S20, " &amp; ",  ROUND(T20,2), " &amp; ", U20, "\\")</f>
        <v>pard300_4 &amp; 8 &amp; 75.72 &amp; 39831 &amp; 3192 &amp; 161.3 &amp; 45045 &amp; 3108 &amp; 154.51 &amp; 36935 &amp; 2611 &amp; 600.01 &amp; 224\\</v>
      </c>
    </row>
    <row r="21" spans="1:26" x14ac:dyDescent="0.2">
      <c r="A21" t="s">
        <v>0</v>
      </c>
      <c r="B21" t="s">
        <v>14</v>
      </c>
      <c r="C21" t="s">
        <v>15</v>
      </c>
      <c r="D21" t="s">
        <v>16</v>
      </c>
      <c r="E21" t="s">
        <v>17</v>
      </c>
      <c r="F21" t="s">
        <v>18</v>
      </c>
      <c r="G21" t="s">
        <v>19</v>
      </c>
      <c r="I21" t="str">
        <f t="shared" si="19"/>
        <v>pard300_4</v>
      </c>
      <c r="J21">
        <v>10</v>
      </c>
      <c r="K21" s="1">
        <f t="shared" si="3"/>
        <v>168.0045940876</v>
      </c>
      <c r="L21">
        <f t="shared" si="4"/>
        <v>58714</v>
      </c>
      <c r="M21">
        <f t="shared" si="5"/>
        <v>3968</v>
      </c>
      <c r="N21" s="1">
        <f t="shared" si="6"/>
        <v>195.16438293457</v>
      </c>
      <c r="O21">
        <f t="shared" si="7"/>
        <v>58495</v>
      </c>
      <c r="P21">
        <f t="shared" si="8"/>
        <v>3672</v>
      </c>
      <c r="Q21" s="1">
        <f t="shared" si="9"/>
        <v>168.21745300292901</v>
      </c>
      <c r="R21">
        <f t="shared" si="10"/>
        <v>44357</v>
      </c>
      <c r="S21">
        <f t="shared" si="11"/>
        <v>3048</v>
      </c>
      <c r="T21">
        <f t="shared" si="12"/>
        <v>600.00276589393604</v>
      </c>
      <c r="U21">
        <f t="shared" si="13"/>
        <v>238</v>
      </c>
      <c r="W21">
        <f t="shared" si="0"/>
        <v>1</v>
      </c>
      <c r="X21">
        <f t="shared" si="1"/>
        <v>1</v>
      </c>
      <c r="Z21" t="str">
        <f t="shared" si="20"/>
        <v>pard300_4 &amp; 10 &amp; 168 &amp; 58714 &amp; 3968 &amp; 195.16 &amp; 58495 &amp; 3672 &amp; 168.22 &amp; 44357 &amp; 3048 &amp; 600 &amp; 238\\</v>
      </c>
    </row>
    <row r="22" spans="1:26" x14ac:dyDescent="0.2">
      <c r="A22" t="s">
        <v>36</v>
      </c>
      <c r="B22">
        <v>6</v>
      </c>
      <c r="C22" t="s">
        <v>21</v>
      </c>
      <c r="D22" t="s">
        <v>1</v>
      </c>
      <c r="E22">
        <v>13.867097139358499</v>
      </c>
      <c r="F22">
        <v>7583</v>
      </c>
      <c r="G22">
        <v>935</v>
      </c>
      <c r="I22" t="str">
        <f t="shared" si="19"/>
        <v>pard300_4</v>
      </c>
      <c r="J22">
        <v>12</v>
      </c>
      <c r="K22" s="1">
        <f t="shared" si="3"/>
        <v>19.979676008224398</v>
      </c>
      <c r="L22">
        <f t="shared" si="4"/>
        <v>18650</v>
      </c>
      <c r="M22">
        <f t="shared" si="5"/>
        <v>267</v>
      </c>
      <c r="N22" s="1">
        <f t="shared" si="6"/>
        <v>8.9278969764709402</v>
      </c>
      <c r="O22">
        <f t="shared" si="7"/>
        <v>5509</v>
      </c>
      <c r="P22">
        <f t="shared" si="8"/>
        <v>187</v>
      </c>
      <c r="Q22" s="1">
        <f t="shared" si="9"/>
        <v>22.749384164810099</v>
      </c>
      <c r="R22">
        <f t="shared" si="10"/>
        <v>3707</v>
      </c>
      <c r="S22">
        <f t="shared" si="11"/>
        <v>127</v>
      </c>
      <c r="T22">
        <f t="shared" si="12"/>
        <v>600.00686597824097</v>
      </c>
      <c r="U22">
        <f t="shared" si="13"/>
        <v>229</v>
      </c>
      <c r="W22">
        <f t="shared" si="0"/>
        <v>1</v>
      </c>
      <c r="X22">
        <f t="shared" si="1"/>
        <v>1</v>
      </c>
      <c r="Z22" t="str">
        <f t="shared" si="20"/>
        <v>pard300_4 &amp; 12 &amp; 19.98 &amp; 18650 &amp; 267 &amp; 8.93 &amp; 5509 &amp; 187 &amp; 22.75 &amp; 3707 &amp; 127 &amp; 600.01 &amp; 229\\</v>
      </c>
    </row>
    <row r="23" spans="1:26" x14ac:dyDescent="0.2">
      <c r="A23" t="s">
        <v>0</v>
      </c>
      <c r="B23" t="s">
        <v>14</v>
      </c>
      <c r="C23" t="s">
        <v>15</v>
      </c>
      <c r="D23" t="s">
        <v>16</v>
      </c>
      <c r="E23" t="s">
        <v>17</v>
      </c>
      <c r="I23" t="str">
        <f t="shared" si="19"/>
        <v>pard300_4</v>
      </c>
      <c r="J23">
        <v>300</v>
      </c>
      <c r="K23" s="1">
        <f t="shared" si="3"/>
        <v>27.1881120204925</v>
      </c>
      <c r="L23">
        <f t="shared" si="4"/>
        <v>22010</v>
      </c>
      <c r="M23">
        <f t="shared" si="5"/>
        <v>284</v>
      </c>
      <c r="N23" s="1">
        <f t="shared" si="6"/>
        <v>16.063643932342501</v>
      </c>
      <c r="O23">
        <f t="shared" si="7"/>
        <v>12237</v>
      </c>
      <c r="P23">
        <f t="shared" si="8"/>
        <v>215</v>
      </c>
      <c r="Q23" s="1">
        <f t="shared" si="9"/>
        <v>31.032446146011299</v>
      </c>
      <c r="R23">
        <f t="shared" si="10"/>
        <v>9941</v>
      </c>
      <c r="S23">
        <f t="shared" si="11"/>
        <v>199</v>
      </c>
      <c r="T23">
        <f t="shared" si="12"/>
        <v>600.008068084716</v>
      </c>
      <c r="U23">
        <f t="shared" si="13"/>
        <v>257</v>
      </c>
      <c r="W23">
        <f t="shared" si="0"/>
        <v>1</v>
      </c>
      <c r="X23">
        <f t="shared" si="1"/>
        <v>1</v>
      </c>
      <c r="Z23" t="str">
        <f>CONCATENATE(I23," &amp; ","nc", " &amp; ", ROUND(K23,2), " &amp; ", L23, " &amp; ", M23, " &amp; ",  ROUND(N23,2), " &amp; ", O23, " &amp; ", P23, " &amp; ", ROUND(Q23,2), " &amp; ", R23, " &amp; ", S23, " &amp; ",  ROUND(T23,2), " &amp; ", U23, "\\")</f>
        <v>pard300_4 &amp; nc &amp; 27.19 &amp; 22010 &amp; 284 &amp; 16.06 &amp; 12237 &amp; 215 &amp; 31.03 &amp; 9941 &amp; 199 &amp; 600.01 &amp; 257\\</v>
      </c>
    </row>
    <row r="24" spans="1:26" x14ac:dyDescent="0.2">
      <c r="A24" t="s">
        <v>36</v>
      </c>
      <c r="B24">
        <v>6</v>
      </c>
      <c r="C24" t="s">
        <v>22</v>
      </c>
      <c r="D24" t="s">
        <v>23</v>
      </c>
      <c r="E24">
        <v>346.50252103805502</v>
      </c>
      <c r="F24">
        <v>117</v>
      </c>
      <c r="I24" t="str">
        <f>CONCATENATE($I$1,"5")</f>
        <v>pard300_5</v>
      </c>
      <c r="J24">
        <v>6</v>
      </c>
      <c r="K24" s="1">
        <f t="shared" si="3"/>
        <v>3.9864208698272701</v>
      </c>
      <c r="L24">
        <f t="shared" si="4"/>
        <v>2670</v>
      </c>
      <c r="M24">
        <f t="shared" si="5"/>
        <v>425</v>
      </c>
      <c r="N24" s="1">
        <f t="shared" si="6"/>
        <v>5.48536801338195</v>
      </c>
      <c r="O24">
        <f t="shared" si="7"/>
        <v>2295</v>
      </c>
      <c r="P24">
        <f t="shared" si="8"/>
        <v>351</v>
      </c>
      <c r="Q24" s="1">
        <f t="shared" si="9"/>
        <v>12.0485820770263</v>
      </c>
      <c r="R24">
        <f t="shared" si="10"/>
        <v>934</v>
      </c>
      <c r="S24">
        <f t="shared" si="11"/>
        <v>104</v>
      </c>
      <c r="T24">
        <f t="shared" si="12"/>
        <v>358.06737303733797</v>
      </c>
      <c r="U24">
        <f t="shared" si="13"/>
        <v>131</v>
      </c>
      <c r="W24">
        <f t="shared" si="0"/>
        <v>1</v>
      </c>
      <c r="X24">
        <f t="shared" si="1"/>
        <v>1</v>
      </c>
      <c r="Z24" t="str">
        <f>CONCATENATE(I24," &amp; ",J24, " &amp; ", ROUND(K24,2), " &amp; ", L24, " &amp; ", M24, " &amp; ",  ROUND(N24,2), " &amp; ", O24, " &amp; ", P24, " &amp; ", ROUND(Q24,2), " &amp; ", R24, " &amp; ", S24, " &amp; ",  ROUND(T24,2), " &amp; ", U24, "\\")</f>
        <v>pard300_5 &amp; 6 &amp; 3.99 &amp; 2670 &amp; 425 &amp; 5.49 &amp; 2295 &amp; 351 &amp; 12.05 &amp; 934 &amp; 104 &amp; 358.07 &amp; 131\\</v>
      </c>
    </row>
    <row r="25" spans="1:26" x14ac:dyDescent="0.2">
      <c r="A25" t="s">
        <v>0</v>
      </c>
      <c r="B25" t="s">
        <v>14</v>
      </c>
      <c r="C25" t="s">
        <v>15</v>
      </c>
      <c r="D25" t="s">
        <v>16</v>
      </c>
      <c r="E25" t="s">
        <v>17</v>
      </c>
      <c r="F25" t="s">
        <v>18</v>
      </c>
      <c r="G25" t="s">
        <v>19</v>
      </c>
      <c r="I25" t="str">
        <f t="shared" ref="I25:I28" si="21">CONCATENATE($I$1,"5")</f>
        <v>pard300_5</v>
      </c>
      <c r="J25">
        <v>8</v>
      </c>
      <c r="K25" s="1">
        <f t="shared" si="3"/>
        <v>6.8822829723358101</v>
      </c>
      <c r="L25">
        <f t="shared" si="4"/>
        <v>5509</v>
      </c>
      <c r="M25">
        <f t="shared" si="5"/>
        <v>491</v>
      </c>
      <c r="N25" s="1">
        <f t="shared" si="6"/>
        <v>6.5263049602508501</v>
      </c>
      <c r="O25">
        <f t="shared" si="7"/>
        <v>4227</v>
      </c>
      <c r="P25">
        <f t="shared" si="8"/>
        <v>357</v>
      </c>
      <c r="Q25" s="1">
        <f t="shared" si="9"/>
        <v>11.8969259262084</v>
      </c>
      <c r="R25">
        <f t="shared" si="10"/>
        <v>1100</v>
      </c>
      <c r="S25">
        <f t="shared" si="11"/>
        <v>73</v>
      </c>
      <c r="T25">
        <f t="shared" si="12"/>
        <v>192.46803402900599</v>
      </c>
      <c r="U25">
        <f t="shared" si="13"/>
        <v>68</v>
      </c>
      <c r="W25">
        <f t="shared" si="0"/>
        <v>1</v>
      </c>
      <c r="X25">
        <f t="shared" si="1"/>
        <v>1</v>
      </c>
      <c r="Z25" t="str">
        <f t="shared" ref="Z25:Z27" si="22">CONCATENATE(I25," &amp; ",J25, " &amp; ", ROUND(K25,2), " &amp; ", L25, " &amp; ", M25, " &amp; ",  ROUND(N25,2), " &amp; ", O25, " &amp; ", P25, " &amp; ", ROUND(Q25,2), " &amp; ", R25, " &amp; ", S25, " &amp; ",  ROUND(T25,2), " &amp; ", U25, "\\")</f>
        <v>pard300_5 &amp; 8 &amp; 6.88 &amp; 5509 &amp; 491 &amp; 6.53 &amp; 4227 &amp; 357 &amp; 11.9 &amp; 1100 &amp; 73 &amp; 192.47 &amp; 68\\</v>
      </c>
    </row>
    <row r="26" spans="1:26" x14ac:dyDescent="0.2">
      <c r="A26" t="s">
        <v>36</v>
      </c>
      <c r="B26">
        <v>8</v>
      </c>
      <c r="C26" t="s">
        <v>21</v>
      </c>
      <c r="D26" t="s">
        <v>1</v>
      </c>
      <c r="E26">
        <v>37.762860059738102</v>
      </c>
      <c r="F26">
        <v>28906</v>
      </c>
      <c r="G26">
        <v>1962</v>
      </c>
      <c r="I26" t="str">
        <f t="shared" si="21"/>
        <v>pard300_5</v>
      </c>
      <c r="J26">
        <v>10</v>
      </c>
      <c r="K26" s="1">
        <f t="shared" si="3"/>
        <v>13.5031080245971</v>
      </c>
      <c r="L26">
        <f t="shared" si="4"/>
        <v>11892</v>
      </c>
      <c r="M26">
        <f t="shared" si="5"/>
        <v>790</v>
      </c>
      <c r="N26" s="1">
        <f t="shared" si="6"/>
        <v>6.8551528453826904</v>
      </c>
      <c r="O26">
        <f t="shared" si="7"/>
        <v>4610</v>
      </c>
      <c r="P26">
        <f t="shared" si="8"/>
        <v>385</v>
      </c>
      <c r="Q26" s="1">
        <f t="shared" si="9"/>
        <v>14.228144168853699</v>
      </c>
      <c r="R26">
        <f t="shared" si="10"/>
        <v>1419</v>
      </c>
      <c r="S26">
        <f t="shared" si="11"/>
        <v>140</v>
      </c>
      <c r="T26">
        <f t="shared" si="12"/>
        <v>330.26746702194202</v>
      </c>
      <c r="U26">
        <f t="shared" si="13"/>
        <v>123</v>
      </c>
      <c r="W26">
        <f t="shared" si="0"/>
        <v>1</v>
      </c>
      <c r="X26">
        <f t="shared" si="1"/>
        <v>1</v>
      </c>
      <c r="Z26" t="str">
        <f t="shared" si="22"/>
        <v>pard300_5 &amp; 10 &amp; 13.5 &amp; 11892 &amp; 790 &amp; 6.86 &amp; 4610 &amp; 385 &amp; 14.23 &amp; 1419 &amp; 140 &amp; 330.27 &amp; 123\\</v>
      </c>
    </row>
    <row r="27" spans="1:26" x14ac:dyDescent="0.2">
      <c r="A27" t="s">
        <v>0</v>
      </c>
      <c r="B27" t="s">
        <v>14</v>
      </c>
      <c r="C27" t="s">
        <v>15</v>
      </c>
      <c r="D27" t="s">
        <v>16</v>
      </c>
      <c r="E27" t="s">
        <v>17</v>
      </c>
      <c r="I27" t="str">
        <f t="shared" si="21"/>
        <v>pard300_5</v>
      </c>
      <c r="J27">
        <v>12</v>
      </c>
      <c r="K27" s="1">
        <f t="shared" si="3"/>
        <v>1.0734269618987999</v>
      </c>
      <c r="L27">
        <f t="shared" si="4"/>
        <v>1141</v>
      </c>
      <c r="M27">
        <f t="shared" si="5"/>
        <v>81</v>
      </c>
      <c r="N27" s="1">
        <f t="shared" si="6"/>
        <v>0.42710995674133301</v>
      </c>
      <c r="O27">
        <f t="shared" si="7"/>
        <v>174</v>
      </c>
      <c r="P27">
        <f t="shared" si="8"/>
        <v>30</v>
      </c>
      <c r="Q27" s="1">
        <f t="shared" si="9"/>
        <v>10.710879087448101</v>
      </c>
      <c r="R27">
        <f t="shared" si="10"/>
        <v>120</v>
      </c>
      <c r="S27">
        <f t="shared" si="11"/>
        <v>18</v>
      </c>
      <c r="T27">
        <f t="shared" si="12"/>
        <v>247.73626899719201</v>
      </c>
      <c r="U27">
        <f t="shared" si="13"/>
        <v>92</v>
      </c>
      <c r="W27">
        <f t="shared" si="0"/>
        <v>1</v>
      </c>
      <c r="X27">
        <f t="shared" si="1"/>
        <v>1</v>
      </c>
      <c r="Z27" t="str">
        <f t="shared" si="22"/>
        <v>pard300_5 &amp; 12 &amp; 1.07 &amp; 1141 &amp; 81 &amp; 0.43 &amp; 174 &amp; 30 &amp; 10.71 &amp; 120 &amp; 18 &amp; 247.74 &amp; 92\\</v>
      </c>
    </row>
    <row r="28" spans="1:26" x14ac:dyDescent="0.2">
      <c r="A28" t="s">
        <v>36</v>
      </c>
      <c r="B28">
        <v>8</v>
      </c>
      <c r="C28" t="s">
        <v>22</v>
      </c>
      <c r="D28" t="s">
        <v>23</v>
      </c>
      <c r="E28">
        <v>582.95579385757401</v>
      </c>
      <c r="F28">
        <v>233</v>
      </c>
      <c r="I28" t="str">
        <f t="shared" si="21"/>
        <v>pard300_5</v>
      </c>
      <c r="J28">
        <v>300</v>
      </c>
      <c r="K28" s="1">
        <f t="shared" si="3"/>
        <v>1.05376696586608</v>
      </c>
      <c r="L28">
        <f t="shared" si="4"/>
        <v>813</v>
      </c>
      <c r="M28">
        <f t="shared" si="5"/>
        <v>82</v>
      </c>
      <c r="N28" s="1">
        <f t="shared" si="6"/>
        <v>1.02639484405517</v>
      </c>
      <c r="O28">
        <f t="shared" si="7"/>
        <v>511</v>
      </c>
      <c r="P28">
        <f t="shared" si="8"/>
        <v>50</v>
      </c>
      <c r="Q28" s="1">
        <f t="shared" si="9"/>
        <v>12.2420289516448</v>
      </c>
      <c r="R28">
        <f t="shared" si="10"/>
        <v>360</v>
      </c>
      <c r="S28">
        <f t="shared" si="11"/>
        <v>31</v>
      </c>
      <c r="T28">
        <f t="shared" si="12"/>
        <v>600.00286602973904</v>
      </c>
      <c r="U28">
        <f t="shared" si="13"/>
        <v>224</v>
      </c>
      <c r="W28">
        <f t="shared" si="0"/>
        <v>1</v>
      </c>
      <c r="X28">
        <f t="shared" si="1"/>
        <v>1</v>
      </c>
      <c r="Z28" t="str">
        <f>CONCATENATE(I28," &amp; ","nc", " &amp; ", ROUND(K28,2), " &amp; ", L28, " &amp; ", M28, " &amp; ",  ROUND(N28,2), " &amp; ", O28, " &amp; ", P28, " &amp; ", ROUND(Q28,2), " &amp; ", R28, " &amp; ", S28, " &amp; ",  ROUND(T28,2), " &amp; ", U28, "\\")</f>
        <v>pard300_5 &amp; nc &amp; 1.05 &amp; 813 &amp; 82 &amp; 1.03 &amp; 511 &amp; 50 &amp; 12.24 &amp; 360 &amp; 31 &amp; 600 &amp; 224\\</v>
      </c>
    </row>
    <row r="29" spans="1:26" x14ac:dyDescent="0.2">
      <c r="A29" t="s">
        <v>0</v>
      </c>
      <c r="B29" t="s">
        <v>14</v>
      </c>
      <c r="C29" t="s">
        <v>15</v>
      </c>
      <c r="D29" t="s">
        <v>16</v>
      </c>
      <c r="E29" t="s">
        <v>17</v>
      </c>
      <c r="F29" t="s">
        <v>18</v>
      </c>
      <c r="G29" t="s">
        <v>19</v>
      </c>
      <c r="I29" t="str">
        <f>CONCATENATE($I$1,"6")</f>
        <v>pard300_6</v>
      </c>
      <c r="J29">
        <v>6</v>
      </c>
      <c r="K29" s="1">
        <f t="shared" si="3"/>
        <v>3.6641349792480402</v>
      </c>
      <c r="L29">
        <f t="shared" si="4"/>
        <v>2478</v>
      </c>
      <c r="M29">
        <f t="shared" si="5"/>
        <v>420</v>
      </c>
      <c r="N29" s="1">
        <f t="shared" si="6"/>
        <v>3.9951541423797599</v>
      </c>
      <c r="O29">
        <f t="shared" si="7"/>
        <v>2341</v>
      </c>
      <c r="P29">
        <f t="shared" si="8"/>
        <v>353</v>
      </c>
      <c r="Q29" s="1">
        <f t="shared" si="9"/>
        <v>11.4696309566497</v>
      </c>
      <c r="R29">
        <f t="shared" si="10"/>
        <v>1089</v>
      </c>
      <c r="S29">
        <f t="shared" si="11"/>
        <v>101</v>
      </c>
      <c r="T29">
        <f t="shared" si="12"/>
        <v>155.51571607589699</v>
      </c>
      <c r="U29">
        <f t="shared" si="13"/>
        <v>55</v>
      </c>
      <c r="W29">
        <f t="shared" si="0"/>
        <v>1</v>
      </c>
      <c r="X29">
        <f t="shared" si="1"/>
        <v>1</v>
      </c>
      <c r="Z29" t="str">
        <f>CONCATENATE(I29," &amp; ",J29, " &amp; ", ROUND(K29,2), " &amp; ", L29, " &amp; ", M29, " &amp; ",  ROUND(N29,2), " &amp; ", O29, " &amp; ", P29, " &amp; ", ROUND(Q29,2), " &amp; ", R29, " &amp; ", S29, " &amp; ",  ROUND(T29,2), " &amp; ", U29, "\\")</f>
        <v>pard300_6 &amp; 6 &amp; 3.66 &amp; 2478 &amp; 420 &amp; 4 &amp; 2341 &amp; 353 &amp; 11.47 &amp; 1089 &amp; 101 &amp; 155.52 &amp; 55\\</v>
      </c>
    </row>
    <row r="30" spans="1:26" x14ac:dyDescent="0.2">
      <c r="A30" t="s">
        <v>36</v>
      </c>
      <c r="B30">
        <v>10</v>
      </c>
      <c r="C30" t="s">
        <v>21</v>
      </c>
      <c r="D30" t="s">
        <v>1</v>
      </c>
      <c r="E30">
        <v>64.5122678279876</v>
      </c>
      <c r="F30">
        <v>41317</v>
      </c>
      <c r="G30">
        <v>2247</v>
      </c>
      <c r="I30" t="str">
        <f t="shared" ref="I30:I33" si="23">CONCATENATE($I$1,"6")</f>
        <v>pard300_6</v>
      </c>
      <c r="J30">
        <v>8</v>
      </c>
      <c r="K30" s="1">
        <f t="shared" si="3"/>
        <v>10.346696853637599</v>
      </c>
      <c r="L30">
        <f t="shared" si="4"/>
        <v>8220</v>
      </c>
      <c r="M30">
        <f t="shared" si="5"/>
        <v>771</v>
      </c>
      <c r="N30" s="1">
        <f t="shared" si="6"/>
        <v>9.7116360664367605</v>
      </c>
      <c r="O30">
        <f t="shared" si="7"/>
        <v>6503</v>
      </c>
      <c r="P30">
        <f t="shared" si="8"/>
        <v>635</v>
      </c>
      <c r="Q30" s="1">
        <f t="shared" si="9"/>
        <v>15.3983600139617</v>
      </c>
      <c r="R30">
        <f t="shared" si="10"/>
        <v>3518</v>
      </c>
      <c r="S30">
        <f t="shared" si="11"/>
        <v>295</v>
      </c>
      <c r="T30">
        <f t="shared" si="12"/>
        <v>307.62255382537802</v>
      </c>
      <c r="U30">
        <f t="shared" si="13"/>
        <v>110</v>
      </c>
      <c r="W30">
        <f t="shared" si="0"/>
        <v>1</v>
      </c>
      <c r="X30">
        <f t="shared" si="1"/>
        <v>1</v>
      </c>
      <c r="Z30" t="str">
        <f t="shared" ref="Z30:Z32" si="24">CONCATENATE(I30," &amp; ",J30, " &amp; ", ROUND(K30,2), " &amp; ", L30, " &amp; ", M30, " &amp; ",  ROUND(N30,2), " &amp; ", O30, " &amp; ", P30, " &amp; ", ROUND(Q30,2), " &amp; ", R30, " &amp; ", S30, " &amp; ",  ROUND(T30,2), " &amp; ", U30, "\\")</f>
        <v>pard300_6 &amp; 8 &amp; 10.35 &amp; 8220 &amp; 771 &amp; 9.71 &amp; 6503 &amp; 635 &amp; 15.4 &amp; 3518 &amp; 295 &amp; 307.62 &amp; 110\\</v>
      </c>
    </row>
    <row r="31" spans="1:26" x14ac:dyDescent="0.2">
      <c r="A31" t="s">
        <v>0</v>
      </c>
      <c r="B31" t="s">
        <v>14</v>
      </c>
      <c r="C31" t="s">
        <v>15</v>
      </c>
      <c r="D31" t="s">
        <v>16</v>
      </c>
      <c r="E31" t="s">
        <v>17</v>
      </c>
      <c r="I31" s="2" t="str">
        <f t="shared" si="23"/>
        <v>pard300_6</v>
      </c>
      <c r="J31" s="2">
        <v>10</v>
      </c>
      <c r="K31" s="3">
        <f t="shared" si="3"/>
        <v>26.946895837783799</v>
      </c>
      <c r="L31" s="2">
        <f t="shared" si="4"/>
        <v>15451</v>
      </c>
      <c r="M31" s="2">
        <f t="shared" si="5"/>
        <v>1151</v>
      </c>
      <c r="N31" s="3">
        <f t="shared" si="6"/>
        <v>19.089736938476499</v>
      </c>
      <c r="O31" s="2">
        <f t="shared" si="7"/>
        <v>12090</v>
      </c>
      <c r="P31" s="2">
        <f t="shared" si="8"/>
        <v>927</v>
      </c>
      <c r="Q31" s="3">
        <f t="shared" si="9"/>
        <v>21.740175962448099</v>
      </c>
      <c r="R31" s="2">
        <f t="shared" si="10"/>
        <v>6265</v>
      </c>
      <c r="S31">
        <f t="shared" si="11"/>
        <v>402</v>
      </c>
      <c r="T31" s="2">
        <f t="shared" si="12"/>
        <v>600.00390696525506</v>
      </c>
      <c r="U31" s="2">
        <f t="shared" si="13"/>
        <v>209</v>
      </c>
      <c r="W31">
        <f t="shared" si="0"/>
        <v>1</v>
      </c>
      <c r="X31">
        <f t="shared" si="1"/>
        <v>1</v>
      </c>
      <c r="Z31" t="str">
        <f t="shared" si="24"/>
        <v>pard300_6 &amp; 10 &amp; 26.95 &amp; 15451 &amp; 1151 &amp; 19.09 &amp; 12090 &amp; 927 &amp; 21.74 &amp; 6265 &amp; 402 &amp; 600 &amp; 209\\</v>
      </c>
    </row>
    <row r="32" spans="1:26" x14ac:dyDescent="0.2">
      <c r="A32" t="s">
        <v>36</v>
      </c>
      <c r="B32">
        <v>10</v>
      </c>
      <c r="C32" t="s">
        <v>22</v>
      </c>
      <c r="D32" t="s">
        <v>23</v>
      </c>
      <c r="E32">
        <v>562.68599104881196</v>
      </c>
      <c r="F32">
        <v>216</v>
      </c>
      <c r="I32" t="str">
        <f t="shared" si="23"/>
        <v>pard300_6</v>
      </c>
      <c r="J32">
        <v>12</v>
      </c>
      <c r="K32" s="1">
        <f t="shared" si="3"/>
        <v>6.6232089996337802</v>
      </c>
      <c r="L32">
        <f t="shared" si="4"/>
        <v>7094</v>
      </c>
      <c r="M32">
        <f t="shared" si="5"/>
        <v>275</v>
      </c>
      <c r="N32" s="3">
        <f t="shared" si="6"/>
        <v>3.74165606498718</v>
      </c>
      <c r="O32" s="2">
        <f t="shared" si="7"/>
        <v>1118</v>
      </c>
      <c r="P32" s="2">
        <f t="shared" si="8"/>
        <v>136</v>
      </c>
      <c r="Q32" s="3">
        <f t="shared" si="9"/>
        <v>19.102811098098702</v>
      </c>
      <c r="R32" s="2">
        <f t="shared" si="10"/>
        <v>794</v>
      </c>
      <c r="S32">
        <f t="shared" si="11"/>
        <v>79</v>
      </c>
      <c r="T32">
        <f t="shared" si="12"/>
        <v>121.399668216705</v>
      </c>
      <c r="U32">
        <f t="shared" si="13"/>
        <v>47</v>
      </c>
      <c r="W32">
        <f t="shared" si="0"/>
        <v>1</v>
      </c>
      <c r="X32">
        <f t="shared" si="1"/>
        <v>1</v>
      </c>
      <c r="Z32" t="str">
        <f t="shared" si="24"/>
        <v>pard300_6 &amp; 12 &amp; 6.62 &amp; 7094 &amp; 275 &amp; 3.74 &amp; 1118 &amp; 136 &amp; 19.1 &amp; 794 &amp; 79 &amp; 121.4 &amp; 47\\</v>
      </c>
    </row>
    <row r="33" spans="1:26" x14ac:dyDescent="0.2">
      <c r="A33" t="s">
        <v>0</v>
      </c>
      <c r="B33" t="s">
        <v>14</v>
      </c>
      <c r="C33" t="s">
        <v>15</v>
      </c>
      <c r="D33" t="s">
        <v>16</v>
      </c>
      <c r="E33" t="s">
        <v>17</v>
      </c>
      <c r="F33" t="s">
        <v>18</v>
      </c>
      <c r="G33" t="s">
        <v>19</v>
      </c>
      <c r="I33" t="str">
        <f t="shared" si="23"/>
        <v>pard300_6</v>
      </c>
      <c r="J33">
        <v>300</v>
      </c>
      <c r="K33" s="1">
        <f t="shared" si="3"/>
        <v>7.6456930637359601</v>
      </c>
      <c r="L33">
        <f t="shared" si="4"/>
        <v>9391</v>
      </c>
      <c r="M33">
        <f t="shared" si="5"/>
        <v>257</v>
      </c>
      <c r="N33" s="3">
        <f t="shared" si="6"/>
        <v>5.1732578277587802</v>
      </c>
      <c r="O33" s="2">
        <f t="shared" si="7"/>
        <v>3233</v>
      </c>
      <c r="P33" s="2">
        <f t="shared" si="8"/>
        <v>195</v>
      </c>
      <c r="Q33" s="3">
        <f t="shared" si="9"/>
        <v>19.058598041534399</v>
      </c>
      <c r="R33" s="2">
        <f t="shared" si="10"/>
        <v>3056</v>
      </c>
      <c r="S33">
        <f t="shared" si="11"/>
        <v>158</v>
      </c>
      <c r="T33">
        <f t="shared" si="12"/>
        <v>600.00490593910195</v>
      </c>
      <c r="U33">
        <f t="shared" si="13"/>
        <v>214</v>
      </c>
      <c r="W33">
        <f t="shared" si="0"/>
        <v>1</v>
      </c>
      <c r="X33">
        <f t="shared" si="1"/>
        <v>1</v>
      </c>
      <c r="Z33" t="str">
        <f>CONCATENATE(I33," &amp; ","nc", " &amp; ", ROUND(K33,2), " &amp; ", L33, " &amp; ", M33, " &amp; ",  ROUND(N33,2), " &amp; ", O33, " &amp; ", P33, " &amp; ", ROUND(Q33,2), " &amp; ", R33, " &amp; ", S33, " &amp; ",  ROUND(T33,2), " &amp; ", U33, "\\")</f>
        <v>pard300_6 &amp; nc &amp; 7.65 &amp; 9391 &amp; 257 &amp; 5.17 &amp; 3233 &amp; 195 &amp; 19.06 &amp; 3056 &amp; 158 &amp; 600 &amp; 214\\</v>
      </c>
    </row>
    <row r="34" spans="1:26" x14ac:dyDescent="0.2">
      <c r="A34" t="s">
        <v>36</v>
      </c>
      <c r="B34">
        <v>12</v>
      </c>
      <c r="C34" t="s">
        <v>21</v>
      </c>
      <c r="D34" t="s">
        <v>1</v>
      </c>
      <c r="E34">
        <v>2.76272392272949</v>
      </c>
      <c r="F34">
        <v>4355</v>
      </c>
      <c r="G34">
        <v>115</v>
      </c>
      <c r="I34" t="str">
        <f>CONCATENATE($I$1,"7")</f>
        <v>pard300_7</v>
      </c>
      <c r="J34">
        <v>6</v>
      </c>
      <c r="K34" s="1">
        <f t="shared" si="3"/>
        <v>2.8191010951995801</v>
      </c>
      <c r="L34">
        <f t="shared" si="4"/>
        <v>2009</v>
      </c>
      <c r="M34">
        <f t="shared" si="5"/>
        <v>323</v>
      </c>
      <c r="N34" s="3">
        <f t="shared" si="6"/>
        <v>3.8886959552764799</v>
      </c>
      <c r="O34" s="2">
        <f t="shared" si="7"/>
        <v>1413</v>
      </c>
      <c r="P34" s="2">
        <f t="shared" si="8"/>
        <v>285</v>
      </c>
      <c r="Q34" s="3">
        <f t="shared" si="9"/>
        <v>12.861477136611899</v>
      </c>
      <c r="R34" s="2">
        <f t="shared" si="10"/>
        <v>1120</v>
      </c>
      <c r="S34">
        <f t="shared" si="11"/>
        <v>195</v>
      </c>
      <c r="T34">
        <f t="shared" si="12"/>
        <v>551.524850845336</v>
      </c>
      <c r="U34">
        <f t="shared" si="13"/>
        <v>227</v>
      </c>
      <c r="W34">
        <f t="shared" si="0"/>
        <v>1</v>
      </c>
      <c r="X34">
        <f t="shared" si="1"/>
        <v>1</v>
      </c>
      <c r="Z34" t="str">
        <f>CONCATENATE(I34," &amp; ",J34, " &amp; ", ROUND(K34,2), " &amp; ", L34, " &amp; ", M34, " &amp; ",  ROUND(N34,2), " &amp; ", O34, " &amp; ", P34, " &amp; ", ROUND(Q34,2), " &amp; ", R34, " &amp; ", S34, " &amp; ",  ROUND(T34,2), " &amp; ", U34, "\\")</f>
        <v>pard300_7 &amp; 6 &amp; 2.82 &amp; 2009 &amp; 323 &amp; 3.89 &amp; 1413 &amp; 285 &amp; 12.86 &amp; 1120 &amp; 195 &amp; 551.52 &amp; 227\\</v>
      </c>
    </row>
    <row r="35" spans="1:26" x14ac:dyDescent="0.2">
      <c r="A35" t="s">
        <v>0</v>
      </c>
      <c r="B35" t="s">
        <v>14</v>
      </c>
      <c r="C35" t="s">
        <v>15</v>
      </c>
      <c r="D35" t="s">
        <v>16</v>
      </c>
      <c r="E35" t="s">
        <v>17</v>
      </c>
      <c r="I35" t="str">
        <f t="shared" ref="I35:I38" si="25">CONCATENATE($I$1,"7")</f>
        <v>pard300_7</v>
      </c>
      <c r="J35">
        <v>8</v>
      </c>
      <c r="K35" s="1">
        <f t="shared" si="3"/>
        <v>4.07834601402282</v>
      </c>
      <c r="L35">
        <f t="shared" si="4"/>
        <v>4395</v>
      </c>
      <c r="M35">
        <f t="shared" si="5"/>
        <v>337</v>
      </c>
      <c r="N35" s="3">
        <f t="shared" si="6"/>
        <v>3.2992889881134002</v>
      </c>
      <c r="O35" s="2">
        <f t="shared" si="7"/>
        <v>1996</v>
      </c>
      <c r="P35" s="2">
        <f t="shared" si="8"/>
        <v>250</v>
      </c>
      <c r="Q35" s="3">
        <f t="shared" si="9"/>
        <v>13.682269096374499</v>
      </c>
      <c r="R35" s="2">
        <f t="shared" si="10"/>
        <v>1182</v>
      </c>
      <c r="S35">
        <f t="shared" si="11"/>
        <v>168</v>
      </c>
      <c r="T35">
        <f t="shared" si="12"/>
        <v>600.00407409667901</v>
      </c>
      <c r="U35">
        <f t="shared" si="13"/>
        <v>210</v>
      </c>
      <c r="W35">
        <f t="shared" si="0"/>
        <v>1</v>
      </c>
      <c r="X35">
        <f t="shared" si="1"/>
        <v>1</v>
      </c>
      <c r="Z35" t="str">
        <f t="shared" ref="Z35:Z37" si="26">CONCATENATE(I35," &amp; ",J35, " &amp; ", ROUND(K35,2), " &amp; ", L35, " &amp; ", M35, " &amp; ",  ROUND(N35,2), " &amp; ", O35, " &amp; ", P35, " &amp; ", ROUND(Q35,2), " &amp; ", R35, " &amp; ", S35, " &amp; ",  ROUND(T35,2), " &amp; ", U35, "\\")</f>
        <v>pard300_7 &amp; 8 &amp; 4.08 &amp; 4395 &amp; 337 &amp; 3.3 &amp; 1996 &amp; 250 &amp; 13.68 &amp; 1182 &amp; 168 &amp; 600 &amp; 210\\</v>
      </c>
    </row>
    <row r="36" spans="1:26" x14ac:dyDescent="0.2">
      <c r="A36" t="s">
        <v>36</v>
      </c>
      <c r="B36">
        <v>12</v>
      </c>
      <c r="C36" t="s">
        <v>22</v>
      </c>
      <c r="D36" t="s">
        <v>23</v>
      </c>
      <c r="E36">
        <v>172.30324316024701</v>
      </c>
      <c r="F36">
        <v>57</v>
      </c>
      <c r="I36" t="str">
        <f t="shared" si="25"/>
        <v>pard300_7</v>
      </c>
      <c r="J36">
        <v>10</v>
      </c>
      <c r="K36" s="1">
        <f t="shared" si="3"/>
        <v>5.0847277641296298</v>
      </c>
      <c r="L36">
        <f t="shared" si="4"/>
        <v>5494</v>
      </c>
      <c r="M36">
        <f t="shared" si="5"/>
        <v>334</v>
      </c>
      <c r="N36" s="1">
        <f t="shared" si="6"/>
        <v>1.76702284812927</v>
      </c>
      <c r="O36">
        <f t="shared" si="7"/>
        <v>1716</v>
      </c>
      <c r="P36">
        <f t="shared" si="8"/>
        <v>107</v>
      </c>
      <c r="Q36" s="1">
        <f t="shared" si="9"/>
        <v>11.125014066696099</v>
      </c>
      <c r="R36">
        <f t="shared" si="10"/>
        <v>464</v>
      </c>
      <c r="S36">
        <f t="shared" si="11"/>
        <v>26</v>
      </c>
      <c r="T36">
        <f t="shared" si="12"/>
        <v>199.03259110450699</v>
      </c>
      <c r="U36">
        <f t="shared" si="13"/>
        <v>63</v>
      </c>
      <c r="W36">
        <f t="shared" si="0"/>
        <v>1</v>
      </c>
      <c r="X36">
        <f t="shared" si="1"/>
        <v>1</v>
      </c>
      <c r="Z36" t="str">
        <f t="shared" si="26"/>
        <v>pard300_7 &amp; 10 &amp; 5.08 &amp; 5494 &amp; 334 &amp; 1.77 &amp; 1716 &amp; 107 &amp; 11.13 &amp; 464 &amp; 26 &amp; 199.03 &amp; 63\\</v>
      </c>
    </row>
    <row r="37" spans="1:26" x14ac:dyDescent="0.2">
      <c r="A37" t="s">
        <v>0</v>
      </c>
      <c r="B37" t="s">
        <v>14</v>
      </c>
      <c r="C37" t="s">
        <v>15</v>
      </c>
      <c r="D37" t="s">
        <v>16</v>
      </c>
      <c r="E37" t="s">
        <v>17</v>
      </c>
      <c r="F37" t="s">
        <v>18</v>
      </c>
      <c r="G37" t="s">
        <v>19</v>
      </c>
      <c r="I37" t="str">
        <f t="shared" si="25"/>
        <v>pard300_7</v>
      </c>
      <c r="J37">
        <v>12</v>
      </c>
      <c r="K37" s="1">
        <f t="shared" si="3"/>
        <v>0.714161157608032</v>
      </c>
      <c r="L37">
        <f t="shared" si="4"/>
        <v>1278</v>
      </c>
      <c r="M37">
        <f t="shared" si="5"/>
        <v>37</v>
      </c>
      <c r="N37" s="1">
        <f t="shared" si="6"/>
        <v>0.56492710113525302</v>
      </c>
      <c r="O37">
        <f t="shared" si="7"/>
        <v>455</v>
      </c>
      <c r="P37">
        <f t="shared" si="8"/>
        <v>18</v>
      </c>
      <c r="Q37" s="1">
        <f t="shared" si="9"/>
        <v>11.9368510246276</v>
      </c>
      <c r="R37">
        <f t="shared" si="10"/>
        <v>373</v>
      </c>
      <c r="S37">
        <f t="shared" si="11"/>
        <v>14</v>
      </c>
      <c r="T37">
        <f t="shared" si="12"/>
        <v>577.76867294311501</v>
      </c>
      <c r="U37">
        <f t="shared" si="13"/>
        <v>208</v>
      </c>
      <c r="W37">
        <f t="shared" si="0"/>
        <v>1</v>
      </c>
      <c r="X37">
        <f t="shared" si="1"/>
        <v>1</v>
      </c>
      <c r="Z37" t="str">
        <f t="shared" si="26"/>
        <v>pard300_7 &amp; 12 &amp; 0.71 &amp; 1278 &amp; 37 &amp; 0.56 &amp; 455 &amp; 18 &amp; 11.94 &amp; 373 &amp; 14 &amp; 577.77 &amp; 208\\</v>
      </c>
    </row>
    <row r="38" spans="1:26" x14ac:dyDescent="0.2">
      <c r="A38" t="s">
        <v>36</v>
      </c>
      <c r="B38">
        <v>300</v>
      </c>
      <c r="C38" t="s">
        <v>21</v>
      </c>
      <c r="D38" t="s">
        <v>1</v>
      </c>
      <c r="E38">
        <v>4.9111771583557102</v>
      </c>
      <c r="F38">
        <v>7423</v>
      </c>
      <c r="G38">
        <v>123</v>
      </c>
      <c r="I38" t="str">
        <f t="shared" si="25"/>
        <v>pard300_7</v>
      </c>
      <c r="J38">
        <v>300</v>
      </c>
      <c r="K38" s="1">
        <f t="shared" si="3"/>
        <v>1.4333648681640601</v>
      </c>
      <c r="L38">
        <f t="shared" si="4"/>
        <v>2940</v>
      </c>
      <c r="M38">
        <f t="shared" si="5"/>
        <v>37</v>
      </c>
      <c r="N38" s="1">
        <f t="shared" si="6"/>
        <v>0.58756208419799805</v>
      </c>
      <c r="O38">
        <f t="shared" si="7"/>
        <v>615</v>
      </c>
      <c r="P38">
        <f t="shared" si="8"/>
        <v>13</v>
      </c>
      <c r="Q38" s="1">
        <f t="shared" si="9"/>
        <v>11.530660152435299</v>
      </c>
      <c r="R38">
        <f t="shared" si="10"/>
        <v>374</v>
      </c>
      <c r="S38">
        <f t="shared" si="11"/>
        <v>12</v>
      </c>
      <c r="T38">
        <f t="shared" si="12"/>
        <v>600.01974487304597</v>
      </c>
      <c r="U38">
        <f t="shared" si="13"/>
        <v>200</v>
      </c>
      <c r="W38">
        <f t="shared" si="0"/>
        <v>1</v>
      </c>
      <c r="X38">
        <f t="shared" si="1"/>
        <v>1</v>
      </c>
      <c r="Z38" t="str">
        <f>CONCATENATE(I38," &amp; ","nc", " &amp; ", ROUND(K38,2), " &amp; ", L38, " &amp; ", M38, " &amp; ",  ROUND(N38,2), " &amp; ", O38, " &amp; ", P38, " &amp; ", ROUND(Q38,2), " &amp; ", R38, " &amp; ", S38, " &amp; ",  ROUND(T38,2), " &amp; ", U38, "\\")</f>
        <v>pard300_7 &amp; nc &amp; 1.43 &amp; 2940 &amp; 37 &amp; 0.59 &amp; 615 &amp; 13 &amp; 11.53 &amp; 374 &amp; 12 &amp; 600.02 &amp; 200\\</v>
      </c>
    </row>
    <row r="39" spans="1:26" x14ac:dyDescent="0.2">
      <c r="A39" t="s">
        <v>0</v>
      </c>
      <c r="B39" t="s">
        <v>14</v>
      </c>
      <c r="C39" t="s">
        <v>15</v>
      </c>
      <c r="D39" t="s">
        <v>16</v>
      </c>
      <c r="E39" t="s">
        <v>17</v>
      </c>
      <c r="I39" t="str">
        <f>CONCATENATE($I$1,"8")</f>
        <v>pard300_8</v>
      </c>
      <c r="J39">
        <v>6</v>
      </c>
      <c r="K39" s="1">
        <f t="shared" si="3"/>
        <v>5.2785370349883998</v>
      </c>
      <c r="L39">
        <f t="shared" si="4"/>
        <v>3174</v>
      </c>
      <c r="M39">
        <f t="shared" si="5"/>
        <v>589</v>
      </c>
      <c r="N39" s="1">
        <f t="shared" si="6"/>
        <v>6.0490250587463299</v>
      </c>
      <c r="O39">
        <f t="shared" si="7"/>
        <v>3052</v>
      </c>
      <c r="P39">
        <f t="shared" si="8"/>
        <v>549</v>
      </c>
      <c r="Q39" s="1">
        <f t="shared" si="9"/>
        <v>13.526757001876801</v>
      </c>
      <c r="R39">
        <f t="shared" si="10"/>
        <v>2232</v>
      </c>
      <c r="S39">
        <f t="shared" si="11"/>
        <v>282</v>
      </c>
      <c r="T39">
        <f t="shared" si="12"/>
        <v>331.94948697090098</v>
      </c>
      <c r="U39">
        <f t="shared" si="13"/>
        <v>113</v>
      </c>
      <c r="W39">
        <f t="shared" si="0"/>
        <v>1</v>
      </c>
      <c r="X39">
        <f t="shared" si="1"/>
        <v>1</v>
      </c>
      <c r="Z39" t="str">
        <f>CONCATENATE(I39," &amp; ",J39, " &amp; ", ROUND(K39,2), " &amp; ", L39, " &amp; ", M39, " &amp; ",  ROUND(N39,2), " &amp; ", O39, " &amp; ", P39, " &amp; ", ROUND(Q39,2), " &amp; ", R39, " &amp; ", S39, " &amp; ",  ROUND(T39,2), " &amp; ", U39, "\\")</f>
        <v>pard300_8 &amp; 6 &amp; 5.28 &amp; 3174 &amp; 589 &amp; 6.05 &amp; 3052 &amp; 549 &amp; 13.53 &amp; 2232 &amp; 282 &amp; 331.95 &amp; 113\\</v>
      </c>
    </row>
    <row r="40" spans="1:26" x14ac:dyDescent="0.2">
      <c r="A40" t="s">
        <v>36</v>
      </c>
      <c r="B40">
        <v>300</v>
      </c>
      <c r="C40" t="s">
        <v>22</v>
      </c>
      <c r="D40" t="s">
        <v>23</v>
      </c>
      <c r="E40">
        <v>600.01518106460503</v>
      </c>
      <c r="F40">
        <v>250</v>
      </c>
      <c r="I40" t="str">
        <f t="shared" ref="I40:I43" si="27">CONCATENATE($I$1,"8")</f>
        <v>pard300_8</v>
      </c>
      <c r="J40">
        <v>8</v>
      </c>
      <c r="K40" s="1">
        <f t="shared" si="3"/>
        <v>11.7439999580383</v>
      </c>
      <c r="L40">
        <f t="shared" si="4"/>
        <v>7725</v>
      </c>
      <c r="M40">
        <f t="shared" si="5"/>
        <v>1034</v>
      </c>
      <c r="N40" s="1">
        <f t="shared" si="6"/>
        <v>15.127844810485801</v>
      </c>
      <c r="O40">
        <f t="shared" si="7"/>
        <v>7912</v>
      </c>
      <c r="P40">
        <f t="shared" si="8"/>
        <v>983</v>
      </c>
      <c r="Q40" s="1">
        <f t="shared" si="9"/>
        <v>20.733606100082302</v>
      </c>
      <c r="R40">
        <f t="shared" si="10"/>
        <v>5125</v>
      </c>
      <c r="S40">
        <f t="shared" si="11"/>
        <v>658</v>
      </c>
      <c r="T40">
        <f t="shared" si="12"/>
        <v>523.24389410018898</v>
      </c>
      <c r="U40">
        <f t="shared" si="13"/>
        <v>185</v>
      </c>
      <c r="W40">
        <f t="shared" si="0"/>
        <v>1</v>
      </c>
      <c r="X40">
        <f t="shared" si="1"/>
        <v>1</v>
      </c>
      <c r="Z40" t="str">
        <f t="shared" ref="Z40:Z42" si="28">CONCATENATE(I40," &amp; ",J40, " &amp; ", ROUND(K40,2), " &amp; ", L40, " &amp; ", M40, " &amp; ",  ROUND(N40,2), " &amp; ", O40, " &amp; ", P40, " &amp; ", ROUND(Q40,2), " &amp; ", R40, " &amp; ", S40, " &amp; ",  ROUND(T40,2), " &amp; ", U40, "\\")</f>
        <v>pard300_8 &amp; 8 &amp; 11.74 &amp; 7725 &amp; 1034 &amp; 15.13 &amp; 7912 &amp; 983 &amp; 20.73 &amp; 5125 &amp; 658 &amp; 523.24 &amp; 185\\</v>
      </c>
    </row>
    <row r="41" spans="1:26" x14ac:dyDescent="0.2">
      <c r="A41" t="s">
        <v>0</v>
      </c>
      <c r="B41" t="s">
        <v>14</v>
      </c>
      <c r="C41" t="s">
        <v>15</v>
      </c>
      <c r="D41" t="s">
        <v>16</v>
      </c>
      <c r="E41" t="s">
        <v>17</v>
      </c>
      <c r="F41" t="s">
        <v>18</v>
      </c>
      <c r="G41" t="s">
        <v>19</v>
      </c>
      <c r="I41" t="str">
        <f t="shared" si="27"/>
        <v>pard300_8</v>
      </c>
      <c r="J41">
        <v>10</v>
      </c>
      <c r="K41" s="1">
        <f t="shared" si="3"/>
        <v>23.6549649238586</v>
      </c>
      <c r="L41">
        <f t="shared" si="4"/>
        <v>18547</v>
      </c>
      <c r="M41">
        <f t="shared" si="5"/>
        <v>1174</v>
      </c>
      <c r="N41" s="1">
        <f t="shared" si="6"/>
        <v>12.0152089595794</v>
      </c>
      <c r="O41">
        <f t="shared" si="7"/>
        <v>8273</v>
      </c>
      <c r="P41">
        <f t="shared" si="8"/>
        <v>602</v>
      </c>
      <c r="Q41" s="1">
        <f t="shared" si="9"/>
        <v>18.470388174057</v>
      </c>
      <c r="R41">
        <f t="shared" si="10"/>
        <v>3646</v>
      </c>
      <c r="S41">
        <f t="shared" si="11"/>
        <v>354</v>
      </c>
      <c r="T41">
        <f t="shared" si="12"/>
        <v>368.29995489120398</v>
      </c>
      <c r="U41">
        <f t="shared" si="13"/>
        <v>130</v>
      </c>
      <c r="W41">
        <f t="shared" si="0"/>
        <v>1</v>
      </c>
      <c r="X41">
        <f t="shared" si="1"/>
        <v>1</v>
      </c>
      <c r="Z41" t="str">
        <f t="shared" si="28"/>
        <v>pard300_8 &amp; 10 &amp; 23.65 &amp; 18547 &amp; 1174 &amp; 12.02 &amp; 8273 &amp; 602 &amp; 18.47 &amp; 3646 &amp; 354 &amp; 368.3 &amp; 130\\</v>
      </c>
    </row>
    <row r="42" spans="1:26" x14ac:dyDescent="0.2">
      <c r="A42" t="s">
        <v>37</v>
      </c>
      <c r="B42">
        <v>6</v>
      </c>
      <c r="C42" t="s">
        <v>21</v>
      </c>
      <c r="D42" t="s">
        <v>1</v>
      </c>
      <c r="E42">
        <v>33.2381138801574</v>
      </c>
      <c r="F42">
        <v>21535</v>
      </c>
      <c r="G42">
        <v>1205</v>
      </c>
      <c r="I42" t="str">
        <f t="shared" si="27"/>
        <v>pard300_8</v>
      </c>
      <c r="J42">
        <v>12</v>
      </c>
      <c r="K42" s="1">
        <f t="shared" si="3"/>
        <v>7.0217587947845397</v>
      </c>
      <c r="L42">
        <f t="shared" si="4"/>
        <v>8034</v>
      </c>
      <c r="M42">
        <f t="shared" si="5"/>
        <v>331</v>
      </c>
      <c r="N42" s="1">
        <f t="shared" si="6"/>
        <v>4.3276028633117596</v>
      </c>
      <c r="O42">
        <f t="shared" si="7"/>
        <v>2786</v>
      </c>
      <c r="P42">
        <f t="shared" si="8"/>
        <v>171</v>
      </c>
      <c r="Q42" s="1">
        <f t="shared" si="9"/>
        <v>14.826565027236899</v>
      </c>
      <c r="R42">
        <f t="shared" si="10"/>
        <v>1447</v>
      </c>
      <c r="S42">
        <f t="shared" si="11"/>
        <v>104</v>
      </c>
      <c r="T42">
        <f t="shared" si="12"/>
        <v>234.68968892097399</v>
      </c>
      <c r="U42">
        <f t="shared" si="13"/>
        <v>89</v>
      </c>
      <c r="W42">
        <f t="shared" si="0"/>
        <v>1</v>
      </c>
      <c r="X42">
        <f t="shared" si="1"/>
        <v>1</v>
      </c>
      <c r="Z42" t="str">
        <f t="shared" si="28"/>
        <v>pard300_8 &amp; 12 &amp; 7.02 &amp; 8034 &amp; 331 &amp; 4.33 &amp; 2786 &amp; 171 &amp; 14.83 &amp; 1447 &amp; 104 &amp; 234.69 &amp; 89\\</v>
      </c>
    </row>
    <row r="43" spans="1:26" x14ac:dyDescent="0.2">
      <c r="A43" t="s">
        <v>0</v>
      </c>
      <c r="B43" t="s">
        <v>14</v>
      </c>
      <c r="C43" t="s">
        <v>15</v>
      </c>
      <c r="D43" t="s">
        <v>16</v>
      </c>
      <c r="E43" t="s">
        <v>17</v>
      </c>
      <c r="I43" t="str">
        <f t="shared" si="27"/>
        <v>pard300_8</v>
      </c>
      <c r="J43">
        <v>300</v>
      </c>
      <c r="K43" s="1">
        <f t="shared" si="3"/>
        <v>8.8834378719329798</v>
      </c>
      <c r="L43">
        <f t="shared" si="4"/>
        <v>9420</v>
      </c>
      <c r="M43">
        <f t="shared" si="5"/>
        <v>333</v>
      </c>
      <c r="N43" s="1">
        <f t="shared" si="6"/>
        <v>7.0947840213775599</v>
      </c>
      <c r="O43">
        <f t="shared" si="7"/>
        <v>6558</v>
      </c>
      <c r="P43">
        <f t="shared" si="8"/>
        <v>287</v>
      </c>
      <c r="Q43" s="1">
        <f t="shared" si="9"/>
        <v>19.3624989986419</v>
      </c>
      <c r="R43">
        <f t="shared" si="10"/>
        <v>4719</v>
      </c>
      <c r="S43">
        <f t="shared" si="11"/>
        <v>239</v>
      </c>
      <c r="T43">
        <f t="shared" si="12"/>
        <v>600.01943612098603</v>
      </c>
      <c r="U43">
        <f t="shared" si="13"/>
        <v>220</v>
      </c>
      <c r="W43">
        <f t="shared" si="0"/>
        <v>1</v>
      </c>
      <c r="X43">
        <f t="shared" si="1"/>
        <v>1</v>
      </c>
      <c r="Z43" t="str">
        <f>CONCATENATE(I43," &amp; ","nc", " &amp; ", ROUND(K43,2), " &amp; ", L43, " &amp; ", M43, " &amp; ",  ROUND(N43,2), " &amp; ", O43, " &amp; ", P43, " &amp; ", ROUND(Q43,2), " &amp; ", R43, " &amp; ", S43, " &amp; ",  ROUND(T43,2), " &amp; ", U43, "\\")</f>
        <v>pard300_8 &amp; nc &amp; 8.88 &amp; 9420 &amp; 333 &amp; 7.09 &amp; 6558 &amp; 287 &amp; 19.36 &amp; 4719 &amp; 239 &amp; 600.02 &amp; 220\\</v>
      </c>
    </row>
    <row r="44" spans="1:26" x14ac:dyDescent="0.2">
      <c r="A44" t="s">
        <v>37</v>
      </c>
      <c r="B44">
        <v>6</v>
      </c>
      <c r="C44" t="s">
        <v>22</v>
      </c>
      <c r="D44" t="s">
        <v>23</v>
      </c>
      <c r="E44">
        <v>600.02407407760597</v>
      </c>
      <c r="F44">
        <v>210</v>
      </c>
      <c r="I44" t="str">
        <f>CONCATENATE($I$1,"9")</f>
        <v>pard300_9</v>
      </c>
      <c r="J44">
        <v>6</v>
      </c>
      <c r="K44" s="1">
        <f t="shared" si="3"/>
        <v>12.255126953125</v>
      </c>
      <c r="L44">
        <f t="shared" si="4"/>
        <v>13405</v>
      </c>
      <c r="M44">
        <f t="shared" si="5"/>
        <v>1033</v>
      </c>
      <c r="N44" s="1">
        <f t="shared" si="6"/>
        <v>15.0812449455261</v>
      </c>
      <c r="O44">
        <f t="shared" si="7"/>
        <v>8177</v>
      </c>
      <c r="P44">
        <f t="shared" si="8"/>
        <v>931</v>
      </c>
      <c r="Q44" s="1">
        <f t="shared" si="9"/>
        <v>20.938108921051001</v>
      </c>
      <c r="R44">
        <f t="shared" si="10"/>
        <v>4948</v>
      </c>
      <c r="S44">
        <f t="shared" si="11"/>
        <v>620</v>
      </c>
      <c r="T44">
        <f t="shared" si="12"/>
        <v>538.48816990852299</v>
      </c>
      <c r="U44">
        <f t="shared" si="13"/>
        <v>195</v>
      </c>
      <c r="W44">
        <f t="shared" si="0"/>
        <v>1</v>
      </c>
      <c r="X44">
        <f t="shared" si="1"/>
        <v>1</v>
      </c>
      <c r="Z44" t="str">
        <f>CONCATENATE(I44," &amp; ",J44, " &amp; ", ROUND(K44,2), " &amp; ", L44, " &amp; ", M44, " &amp; ",  ROUND(N44,2), " &amp; ", O44, " &amp; ", P44, " &amp; ", ROUND(Q44,2), " &amp; ", R44, " &amp; ", S44, " &amp; ",  ROUND(T44,2), " &amp; ", U44, "\\")</f>
        <v>pard300_9 &amp; 6 &amp; 12.26 &amp; 13405 &amp; 1033 &amp; 15.08 &amp; 8177 &amp; 931 &amp; 20.94 &amp; 4948 &amp; 620 &amp; 538.49 &amp; 195\\</v>
      </c>
    </row>
    <row r="45" spans="1:26" x14ac:dyDescent="0.2">
      <c r="A45" t="s">
        <v>0</v>
      </c>
      <c r="B45" t="s">
        <v>14</v>
      </c>
      <c r="C45" t="s">
        <v>15</v>
      </c>
      <c r="D45" t="s">
        <v>16</v>
      </c>
      <c r="E45" t="s">
        <v>17</v>
      </c>
      <c r="F45" t="s">
        <v>18</v>
      </c>
      <c r="G45" t="s">
        <v>19</v>
      </c>
      <c r="I45" t="str">
        <f t="shared" ref="I45:I48" si="29">CONCATENATE($I$1,"9")</f>
        <v>pard300_9</v>
      </c>
      <c r="J45">
        <v>8</v>
      </c>
      <c r="K45" s="1">
        <f t="shared" si="3"/>
        <v>97.899055004119802</v>
      </c>
      <c r="L45">
        <f t="shared" si="4"/>
        <v>31664</v>
      </c>
      <c r="M45">
        <f t="shared" si="5"/>
        <v>2356</v>
      </c>
      <c r="N45" s="1">
        <f t="shared" si="6"/>
        <v>76.985270023345905</v>
      </c>
      <c r="O45">
        <f t="shared" si="7"/>
        <v>30945</v>
      </c>
      <c r="P45">
        <f t="shared" si="8"/>
        <v>2192</v>
      </c>
      <c r="Q45" s="1">
        <f t="shared" si="9"/>
        <v>77.926165103912297</v>
      </c>
      <c r="R45">
        <f t="shared" si="10"/>
        <v>24080</v>
      </c>
      <c r="S45">
        <f t="shared" si="11"/>
        <v>1823</v>
      </c>
      <c r="T45">
        <f t="shared" si="12"/>
        <v>600.00654816627502</v>
      </c>
      <c r="U45">
        <f t="shared" si="13"/>
        <v>207</v>
      </c>
      <c r="W45">
        <f t="shared" si="0"/>
        <v>1</v>
      </c>
      <c r="X45">
        <f t="shared" si="1"/>
        <v>1</v>
      </c>
      <c r="Z45" t="str">
        <f t="shared" ref="Z45:Z47" si="30">CONCATENATE(I45," &amp; ",J45, " &amp; ", ROUND(K45,2), " &amp; ", L45, " &amp; ", M45, " &amp; ",  ROUND(N45,2), " &amp; ", O45, " &amp; ", P45, " &amp; ", ROUND(Q45,2), " &amp; ", R45, " &amp; ", S45, " &amp; ",  ROUND(T45,2), " &amp; ", U45, "\\")</f>
        <v>pard300_9 &amp; 8 &amp; 97.9 &amp; 31664 &amp; 2356 &amp; 76.99 &amp; 30945 &amp; 2192 &amp; 77.93 &amp; 24080 &amp; 1823 &amp; 600.01 &amp; 207\\</v>
      </c>
    </row>
    <row r="46" spans="1:26" x14ac:dyDescent="0.2">
      <c r="A46" t="s">
        <v>37</v>
      </c>
      <c r="B46">
        <v>8</v>
      </c>
      <c r="C46" t="s">
        <v>21</v>
      </c>
      <c r="D46" t="s">
        <v>1</v>
      </c>
      <c r="E46">
        <v>34.0016350746154</v>
      </c>
      <c r="F46">
        <v>37918</v>
      </c>
      <c r="G46">
        <v>1410</v>
      </c>
      <c r="I46" t="str">
        <f t="shared" si="29"/>
        <v>pard300_9</v>
      </c>
      <c r="J46">
        <v>10</v>
      </c>
      <c r="K46" s="1">
        <f t="shared" si="3"/>
        <v>215.236496925354</v>
      </c>
      <c r="L46">
        <f t="shared" si="4"/>
        <v>97799</v>
      </c>
      <c r="M46">
        <f t="shared" si="5"/>
        <v>2741</v>
      </c>
      <c r="N46" s="1">
        <f t="shared" si="6"/>
        <v>118.081831932067</v>
      </c>
      <c r="O46">
        <f t="shared" si="7"/>
        <v>64979</v>
      </c>
      <c r="P46">
        <f t="shared" si="8"/>
        <v>1907</v>
      </c>
      <c r="Q46" s="1">
        <f t="shared" si="9"/>
        <v>66.369973897933903</v>
      </c>
      <c r="R46">
        <f t="shared" si="10"/>
        <v>36792</v>
      </c>
      <c r="S46">
        <f t="shared" si="11"/>
        <v>1113</v>
      </c>
      <c r="T46">
        <f t="shared" si="12"/>
        <v>600.00533008575405</v>
      </c>
      <c r="U46">
        <f t="shared" si="13"/>
        <v>201</v>
      </c>
      <c r="W46">
        <f t="shared" si="0"/>
        <v>1</v>
      </c>
      <c r="X46">
        <f t="shared" si="1"/>
        <v>1</v>
      </c>
      <c r="Z46" t="str">
        <f t="shared" si="30"/>
        <v>pard300_9 &amp; 10 &amp; 215.24 &amp; 97799 &amp; 2741 &amp; 118.08 &amp; 64979 &amp; 1907 &amp; 66.37 &amp; 36792 &amp; 1113 &amp; 600.01 &amp; 201\\</v>
      </c>
    </row>
    <row r="47" spans="1:26" x14ac:dyDescent="0.2">
      <c r="A47" t="s">
        <v>0</v>
      </c>
      <c r="B47" t="s">
        <v>14</v>
      </c>
      <c r="C47" t="s">
        <v>15</v>
      </c>
      <c r="D47" t="s">
        <v>16</v>
      </c>
      <c r="E47" t="s">
        <v>17</v>
      </c>
      <c r="I47" t="str">
        <f t="shared" si="29"/>
        <v>pard300_9</v>
      </c>
      <c r="J47">
        <v>12</v>
      </c>
      <c r="K47" s="1">
        <f t="shared" si="3"/>
        <v>11.0782380104064</v>
      </c>
      <c r="L47">
        <f t="shared" si="4"/>
        <v>11753</v>
      </c>
      <c r="M47">
        <f t="shared" si="5"/>
        <v>268</v>
      </c>
      <c r="N47" s="1">
        <f t="shared" si="6"/>
        <v>9.68116903305053</v>
      </c>
      <c r="O47">
        <f t="shared" si="7"/>
        <v>8423</v>
      </c>
      <c r="P47">
        <f t="shared" si="8"/>
        <v>196</v>
      </c>
      <c r="Q47" s="1">
        <f t="shared" si="9"/>
        <v>18.184984922409001</v>
      </c>
      <c r="R47">
        <f t="shared" si="10"/>
        <v>3710</v>
      </c>
      <c r="S47">
        <f t="shared" si="11"/>
        <v>117</v>
      </c>
      <c r="T47">
        <f t="shared" si="12"/>
        <v>600.00493192672695</v>
      </c>
      <c r="U47">
        <f t="shared" si="13"/>
        <v>269</v>
      </c>
      <c r="W47">
        <f t="shared" si="0"/>
        <v>1</v>
      </c>
      <c r="X47">
        <f t="shared" si="1"/>
        <v>1</v>
      </c>
      <c r="Z47" t="str">
        <f t="shared" si="30"/>
        <v>pard300_9 &amp; 12 &amp; 11.08 &amp; 11753 &amp; 268 &amp; 9.68 &amp; 8423 &amp; 196 &amp; 18.18 &amp; 3710 &amp; 117 &amp; 600 &amp; 269\\</v>
      </c>
    </row>
    <row r="48" spans="1:26" x14ac:dyDescent="0.2">
      <c r="A48" t="s">
        <v>37</v>
      </c>
      <c r="B48">
        <v>8</v>
      </c>
      <c r="C48" t="s">
        <v>22</v>
      </c>
      <c r="D48" t="s">
        <v>23</v>
      </c>
      <c r="E48">
        <v>600.00823211669899</v>
      </c>
      <c r="F48">
        <v>206</v>
      </c>
      <c r="I48" t="str">
        <f t="shared" si="29"/>
        <v>pard300_9</v>
      </c>
      <c r="J48">
        <v>300</v>
      </c>
      <c r="K48" s="1">
        <f t="shared" si="3"/>
        <v>24.514941930770799</v>
      </c>
      <c r="L48">
        <f t="shared" si="4"/>
        <v>25400</v>
      </c>
      <c r="M48">
        <f t="shared" si="5"/>
        <v>284</v>
      </c>
      <c r="N48" s="1">
        <f t="shared" si="6"/>
        <v>10.651438951492301</v>
      </c>
      <c r="O48">
        <f t="shared" si="7"/>
        <v>8604</v>
      </c>
      <c r="P48">
        <f t="shared" si="8"/>
        <v>225</v>
      </c>
      <c r="Q48" s="1">
        <f t="shared" si="9"/>
        <v>31.339240074157701</v>
      </c>
      <c r="R48">
        <f t="shared" si="10"/>
        <v>10641</v>
      </c>
      <c r="S48">
        <f t="shared" si="11"/>
        <v>196</v>
      </c>
      <c r="T48">
        <f t="shared" si="12"/>
        <v>600.00748896598805</v>
      </c>
      <c r="U48">
        <f t="shared" si="13"/>
        <v>240</v>
      </c>
      <c r="W48">
        <f t="shared" si="0"/>
        <v>1</v>
      </c>
      <c r="X48">
        <f t="shared" si="1"/>
        <v>1</v>
      </c>
      <c r="Z48" t="str">
        <f>CONCATENATE(I48," &amp; ","nc", " &amp; ", ROUND(K48,2), " &amp; ", L48, " &amp; ", M48, " &amp; ",  ROUND(N48,2), " &amp; ", O48, " &amp; ", P48, " &amp; ", ROUND(Q48,2), " &amp; ", R48, " &amp; ", S48, " &amp; ",  ROUND(T48,2), " &amp; ", U48, "\\")</f>
        <v>pard300_9 &amp; nc &amp; 24.51 &amp; 25400 &amp; 284 &amp; 10.65 &amp; 8604 &amp; 225 &amp; 31.34 &amp; 10641 &amp; 196 &amp; 600.01 &amp; 240\\</v>
      </c>
    </row>
    <row r="49" spans="1:26" x14ac:dyDescent="0.2">
      <c r="A49" t="s">
        <v>0</v>
      </c>
      <c r="B49" t="s">
        <v>14</v>
      </c>
      <c r="C49" t="s">
        <v>15</v>
      </c>
      <c r="D49" t="s">
        <v>16</v>
      </c>
      <c r="E49" t="s">
        <v>17</v>
      </c>
      <c r="F49" t="s">
        <v>18</v>
      </c>
      <c r="G49" t="s">
        <v>19</v>
      </c>
      <c r="I49" t="str">
        <f>CONCATENATE($I$1,"10")</f>
        <v>pard300_10</v>
      </c>
      <c r="J49">
        <v>6</v>
      </c>
      <c r="K49" s="1">
        <f t="shared" si="3"/>
        <v>5.12564897537231</v>
      </c>
      <c r="L49">
        <f t="shared" si="4"/>
        <v>3884</v>
      </c>
      <c r="M49">
        <f t="shared" si="5"/>
        <v>583</v>
      </c>
      <c r="N49" s="1">
        <f t="shared" si="6"/>
        <v>7.5002939701080296</v>
      </c>
      <c r="O49">
        <f t="shared" si="7"/>
        <v>3589</v>
      </c>
      <c r="P49">
        <f t="shared" si="8"/>
        <v>503</v>
      </c>
      <c r="Q49" s="1">
        <f t="shared" si="9"/>
        <v>15.052365064620901</v>
      </c>
      <c r="R49">
        <f t="shared" si="10"/>
        <v>2227</v>
      </c>
      <c r="S49">
        <f t="shared" si="11"/>
        <v>234</v>
      </c>
      <c r="T49">
        <f t="shared" si="12"/>
        <v>262.498376131057</v>
      </c>
      <c r="U49">
        <f t="shared" si="13"/>
        <v>93</v>
      </c>
      <c r="W49">
        <f t="shared" si="0"/>
        <v>1</v>
      </c>
      <c r="X49">
        <f t="shared" si="1"/>
        <v>1</v>
      </c>
      <c r="Z49" t="str">
        <f>CONCATENATE(I49," &amp; ",J49, " &amp; ", ROUND(K49,2), " &amp; ", L49, " &amp; ", M49, " &amp; ",  ROUND(N49,2), " &amp; ", O49, " &amp; ", P49, " &amp; ", ROUND(Q49,2), " &amp; ", R49, " &amp; ", S49, " &amp; ",  ROUND(T49,2), " &amp; ", U49, "\\")</f>
        <v>pard300_10 &amp; 6 &amp; 5.13 &amp; 3884 &amp; 583 &amp; 7.5 &amp; 3589 &amp; 503 &amp; 15.05 &amp; 2227 &amp; 234 &amp; 262.5 &amp; 93\\</v>
      </c>
    </row>
    <row r="50" spans="1:26" x14ac:dyDescent="0.2">
      <c r="A50" t="s">
        <v>37</v>
      </c>
      <c r="B50">
        <v>10</v>
      </c>
      <c r="C50" t="s">
        <v>21</v>
      </c>
      <c r="D50" t="s">
        <v>1</v>
      </c>
      <c r="E50">
        <v>254.374500989913</v>
      </c>
      <c r="F50">
        <v>128452</v>
      </c>
      <c r="G50">
        <v>3526</v>
      </c>
      <c r="I50" t="str">
        <f t="shared" ref="I50:I53" si="31">CONCATENATE($I$1,"10")</f>
        <v>pard300_10</v>
      </c>
      <c r="J50">
        <v>8</v>
      </c>
      <c r="K50" s="1">
        <f t="shared" si="3"/>
        <v>9.5358989238738996</v>
      </c>
      <c r="L50">
        <f t="shared" si="4"/>
        <v>6685</v>
      </c>
      <c r="M50">
        <f t="shared" si="5"/>
        <v>803</v>
      </c>
      <c r="N50" s="1">
        <f t="shared" si="6"/>
        <v>11.4402408599853</v>
      </c>
      <c r="O50">
        <f t="shared" si="7"/>
        <v>5257</v>
      </c>
      <c r="P50">
        <f t="shared" si="8"/>
        <v>687</v>
      </c>
      <c r="Q50" s="1">
        <f t="shared" si="9"/>
        <v>17.120454072952199</v>
      </c>
      <c r="R50">
        <f t="shared" si="10"/>
        <v>3190</v>
      </c>
      <c r="S50">
        <f t="shared" si="11"/>
        <v>300</v>
      </c>
      <c r="T50">
        <f t="shared" si="12"/>
        <v>289.01432704925497</v>
      </c>
      <c r="U50">
        <f t="shared" si="13"/>
        <v>107</v>
      </c>
      <c r="W50">
        <f t="shared" si="0"/>
        <v>1</v>
      </c>
      <c r="X50">
        <f t="shared" si="1"/>
        <v>1</v>
      </c>
      <c r="Z50" t="str">
        <f t="shared" ref="Z50:Z52" si="32">CONCATENATE(I50," &amp; ",J50, " &amp; ", ROUND(K50,2), " &amp; ", L50, " &amp; ", M50, " &amp; ",  ROUND(N50,2), " &amp; ", O50, " &amp; ", P50, " &amp; ", ROUND(Q50,2), " &amp; ", R50, " &amp; ", S50, " &amp; ",  ROUND(T50,2), " &amp; ", U50, "\\")</f>
        <v>pard300_10 &amp; 8 &amp; 9.54 &amp; 6685 &amp; 803 &amp; 11.44 &amp; 5257 &amp; 687 &amp; 17.12 &amp; 3190 &amp; 300 &amp; 289.01 &amp; 107\\</v>
      </c>
    </row>
    <row r="51" spans="1:26" x14ac:dyDescent="0.2">
      <c r="A51" t="s">
        <v>0</v>
      </c>
      <c r="B51" t="s">
        <v>14</v>
      </c>
      <c r="C51" t="s">
        <v>15</v>
      </c>
      <c r="D51" t="s">
        <v>16</v>
      </c>
      <c r="E51" t="s">
        <v>17</v>
      </c>
      <c r="I51" t="str">
        <f t="shared" si="31"/>
        <v>pard300_10</v>
      </c>
      <c r="J51">
        <v>10</v>
      </c>
      <c r="K51" s="1">
        <f t="shared" si="3"/>
        <v>6.0245261192321697</v>
      </c>
      <c r="L51">
        <f t="shared" si="4"/>
        <v>3417</v>
      </c>
      <c r="M51">
        <f t="shared" si="5"/>
        <v>486</v>
      </c>
      <c r="N51" s="1">
        <f t="shared" si="6"/>
        <v>4.9574899673461896</v>
      </c>
      <c r="O51">
        <f t="shared" si="7"/>
        <v>2097</v>
      </c>
      <c r="P51">
        <f t="shared" si="8"/>
        <v>380</v>
      </c>
      <c r="Q51" s="1">
        <f t="shared" si="9"/>
        <v>14.245360851287799</v>
      </c>
      <c r="R51">
        <f t="shared" si="10"/>
        <v>1215</v>
      </c>
      <c r="S51">
        <f t="shared" si="11"/>
        <v>229</v>
      </c>
      <c r="T51">
        <f t="shared" si="12"/>
        <v>259.465022087097</v>
      </c>
      <c r="U51">
        <f t="shared" si="13"/>
        <v>99</v>
      </c>
      <c r="W51">
        <f t="shared" si="0"/>
        <v>1</v>
      </c>
      <c r="X51">
        <f t="shared" si="1"/>
        <v>1</v>
      </c>
      <c r="Z51" t="str">
        <f t="shared" si="32"/>
        <v>pard300_10 &amp; 10 &amp; 6.02 &amp; 3417 &amp; 486 &amp; 4.96 &amp; 2097 &amp; 380 &amp; 14.25 &amp; 1215 &amp; 229 &amp; 259.47 &amp; 99\\</v>
      </c>
    </row>
    <row r="52" spans="1:26" x14ac:dyDescent="0.2">
      <c r="A52" t="s">
        <v>37</v>
      </c>
      <c r="B52">
        <v>10</v>
      </c>
      <c r="C52" t="s">
        <v>22</v>
      </c>
      <c r="D52" t="s">
        <v>23</v>
      </c>
      <c r="E52">
        <v>600.00990796089104</v>
      </c>
      <c r="F52">
        <v>210</v>
      </c>
      <c r="I52" t="str">
        <f t="shared" si="31"/>
        <v>pard300_10</v>
      </c>
      <c r="J52">
        <v>12</v>
      </c>
      <c r="K52" s="1">
        <f t="shared" si="3"/>
        <v>13.3252291679382</v>
      </c>
      <c r="L52">
        <f t="shared" si="4"/>
        <v>9969</v>
      </c>
      <c r="M52">
        <f t="shared" si="5"/>
        <v>388</v>
      </c>
      <c r="N52" s="1">
        <f t="shared" si="6"/>
        <v>5.3498880863189697</v>
      </c>
      <c r="O52">
        <f t="shared" si="7"/>
        <v>3815</v>
      </c>
      <c r="P52">
        <f t="shared" si="8"/>
        <v>207</v>
      </c>
      <c r="Q52" s="1">
        <f t="shared" si="9"/>
        <v>14.559622049331599</v>
      </c>
      <c r="R52">
        <f t="shared" si="10"/>
        <v>1690</v>
      </c>
      <c r="S52">
        <f t="shared" si="11"/>
        <v>84</v>
      </c>
      <c r="T52">
        <f t="shared" si="12"/>
        <v>600.01275682449295</v>
      </c>
      <c r="U52">
        <f t="shared" si="13"/>
        <v>195</v>
      </c>
      <c r="W52">
        <f t="shared" si="0"/>
        <v>1</v>
      </c>
      <c r="X52">
        <f t="shared" si="1"/>
        <v>1</v>
      </c>
      <c r="Z52" t="str">
        <f t="shared" si="32"/>
        <v>pard300_10 &amp; 12 &amp; 13.33 &amp; 9969 &amp; 388 &amp; 5.35 &amp; 3815 &amp; 207 &amp; 14.56 &amp; 1690 &amp; 84 &amp; 600.01 &amp; 195\\</v>
      </c>
    </row>
    <row r="53" spans="1:26" x14ac:dyDescent="0.2">
      <c r="A53" t="s">
        <v>0</v>
      </c>
      <c r="B53" t="s">
        <v>14</v>
      </c>
      <c r="C53" t="s">
        <v>15</v>
      </c>
      <c r="D53" t="s">
        <v>16</v>
      </c>
      <c r="E53" t="s">
        <v>17</v>
      </c>
      <c r="F53" t="s">
        <v>18</v>
      </c>
      <c r="G53" t="s">
        <v>19</v>
      </c>
      <c r="I53" t="str">
        <f t="shared" si="31"/>
        <v>pard300_10</v>
      </c>
      <c r="J53">
        <v>300</v>
      </c>
      <c r="K53" s="1">
        <f t="shared" si="3"/>
        <v>26.772544145584099</v>
      </c>
      <c r="L53">
        <f t="shared" si="4"/>
        <v>16426</v>
      </c>
      <c r="M53">
        <f t="shared" si="5"/>
        <v>410</v>
      </c>
      <c r="N53" s="1">
        <f t="shared" si="6"/>
        <v>15.1973040103912</v>
      </c>
      <c r="O53">
        <f t="shared" si="7"/>
        <v>8326</v>
      </c>
      <c r="P53">
        <f t="shared" si="8"/>
        <v>336</v>
      </c>
      <c r="Q53" s="1">
        <f t="shared" si="9"/>
        <v>35.886610984802203</v>
      </c>
      <c r="R53">
        <f t="shared" si="10"/>
        <v>9676</v>
      </c>
      <c r="S53">
        <f t="shared" si="11"/>
        <v>319</v>
      </c>
      <c r="T53">
        <f t="shared" si="12"/>
        <v>600.012307167053</v>
      </c>
      <c r="U53">
        <f t="shared" si="13"/>
        <v>175</v>
      </c>
      <c r="W53">
        <f t="shared" si="0"/>
        <v>1</v>
      </c>
      <c r="X53">
        <f t="shared" si="1"/>
        <v>1</v>
      </c>
      <c r="Z53" t="str">
        <f>CONCATENATE(I53," &amp; ","nc", " &amp; ", ROUND(K53,2), " &amp; ", L53, " &amp; ", M53, " &amp; ",  ROUND(N53,2), " &amp; ", O53, " &amp; ", P53, " &amp; ", ROUND(Q53,2), " &amp; ", R53, " &amp; ", S53, " &amp; ",  ROUND(T53,2), " &amp; ", U53, "\\")</f>
        <v>pard300_10 &amp; nc &amp; 26.77 &amp; 16426 &amp; 410 &amp; 15.2 &amp; 8326 &amp; 336 &amp; 35.89 &amp; 9676 &amp; 319 &amp; 600.01 &amp; 175\\</v>
      </c>
    </row>
    <row r="54" spans="1:26" x14ac:dyDescent="0.2">
      <c r="A54" t="s">
        <v>37</v>
      </c>
      <c r="B54">
        <v>12</v>
      </c>
      <c r="C54" t="s">
        <v>21</v>
      </c>
      <c r="D54" t="s">
        <v>1</v>
      </c>
      <c r="E54">
        <v>81.045429944991994</v>
      </c>
      <c r="F54">
        <v>59468</v>
      </c>
      <c r="G54">
        <v>342</v>
      </c>
      <c r="N54" s="1"/>
      <c r="Q54" s="1"/>
    </row>
    <row r="55" spans="1:26" x14ac:dyDescent="0.2">
      <c r="A55" t="s">
        <v>0</v>
      </c>
      <c r="B55" t="s">
        <v>14</v>
      </c>
      <c r="C55" t="s">
        <v>15</v>
      </c>
      <c r="D55" t="s">
        <v>16</v>
      </c>
      <c r="E55" t="s">
        <v>17</v>
      </c>
      <c r="N55" s="1"/>
      <c r="Q55" s="1"/>
    </row>
    <row r="56" spans="1:26" x14ac:dyDescent="0.2">
      <c r="A56" t="s">
        <v>37</v>
      </c>
      <c r="B56">
        <v>12</v>
      </c>
      <c r="C56" t="s">
        <v>22</v>
      </c>
      <c r="D56" t="s">
        <v>23</v>
      </c>
      <c r="E56">
        <v>600.00872707366898</v>
      </c>
      <c r="F56">
        <v>295</v>
      </c>
      <c r="N56" s="1"/>
      <c r="Q56" s="1"/>
    </row>
    <row r="57" spans="1:26" x14ac:dyDescent="0.2">
      <c r="A57" t="s">
        <v>0</v>
      </c>
      <c r="B57" t="s">
        <v>14</v>
      </c>
      <c r="C57" t="s">
        <v>15</v>
      </c>
      <c r="D57" t="s">
        <v>16</v>
      </c>
      <c r="E57" t="s">
        <v>17</v>
      </c>
      <c r="F57" t="s">
        <v>18</v>
      </c>
      <c r="G57" t="s">
        <v>19</v>
      </c>
      <c r="N57" s="1"/>
      <c r="Q57" s="1"/>
    </row>
    <row r="58" spans="1:26" x14ac:dyDescent="0.2">
      <c r="A58" t="s">
        <v>37</v>
      </c>
      <c r="B58">
        <v>300</v>
      </c>
      <c r="C58" t="s">
        <v>21</v>
      </c>
      <c r="D58" t="s">
        <v>1</v>
      </c>
      <c r="E58">
        <v>77.3421177864074</v>
      </c>
      <c r="F58">
        <v>58551</v>
      </c>
      <c r="G58">
        <v>328</v>
      </c>
      <c r="N58" s="1"/>
      <c r="Q58" s="1"/>
    </row>
    <row r="59" spans="1:26" x14ac:dyDescent="0.2">
      <c r="A59" t="s">
        <v>0</v>
      </c>
      <c r="B59" t="s">
        <v>14</v>
      </c>
      <c r="C59" t="s">
        <v>15</v>
      </c>
      <c r="D59" t="s">
        <v>16</v>
      </c>
      <c r="E59" t="s">
        <v>17</v>
      </c>
      <c r="N59" s="1"/>
      <c r="Q59" s="1"/>
    </row>
    <row r="60" spans="1:26" x14ac:dyDescent="0.2">
      <c r="A60" t="s">
        <v>37</v>
      </c>
      <c r="B60">
        <v>300</v>
      </c>
      <c r="C60" t="s">
        <v>22</v>
      </c>
      <c r="D60" t="s">
        <v>23</v>
      </c>
      <c r="E60">
        <v>600.01174712181</v>
      </c>
      <c r="F60">
        <v>206</v>
      </c>
      <c r="N60" s="1"/>
      <c r="Q60" s="1"/>
    </row>
    <row r="61" spans="1:26" x14ac:dyDescent="0.2">
      <c r="A61" t="s">
        <v>0</v>
      </c>
      <c r="B61" t="s">
        <v>14</v>
      </c>
      <c r="C61" t="s">
        <v>15</v>
      </c>
      <c r="D61" t="s">
        <v>16</v>
      </c>
      <c r="E61" t="s">
        <v>17</v>
      </c>
      <c r="F61" t="s">
        <v>18</v>
      </c>
      <c r="G61" t="s">
        <v>19</v>
      </c>
      <c r="N61" s="1"/>
      <c r="Q61" s="1"/>
    </row>
    <row r="62" spans="1:26" x14ac:dyDescent="0.2">
      <c r="A62" t="s">
        <v>38</v>
      </c>
      <c r="B62">
        <v>6</v>
      </c>
      <c r="C62" t="s">
        <v>21</v>
      </c>
      <c r="D62" t="s">
        <v>1</v>
      </c>
      <c r="E62">
        <v>51.464221954345703</v>
      </c>
      <c r="F62">
        <v>18806</v>
      </c>
      <c r="G62">
        <v>2255</v>
      </c>
      <c r="N62" s="1"/>
      <c r="Q62" s="1"/>
    </row>
    <row r="63" spans="1:26" x14ac:dyDescent="0.2">
      <c r="A63" t="s">
        <v>0</v>
      </c>
      <c r="B63" t="s">
        <v>14</v>
      </c>
      <c r="C63" t="s">
        <v>15</v>
      </c>
      <c r="D63" t="s">
        <v>16</v>
      </c>
      <c r="E63" t="s">
        <v>17</v>
      </c>
      <c r="N63" s="1"/>
      <c r="Q63" s="1"/>
    </row>
    <row r="64" spans="1:26" x14ac:dyDescent="0.2">
      <c r="A64" t="s">
        <v>38</v>
      </c>
      <c r="B64">
        <v>6</v>
      </c>
      <c r="C64" t="s">
        <v>22</v>
      </c>
      <c r="D64" t="s">
        <v>23</v>
      </c>
      <c r="E64">
        <v>600.00433993339504</v>
      </c>
      <c r="F64">
        <v>225</v>
      </c>
      <c r="N64" s="1"/>
      <c r="Q64" s="1"/>
    </row>
    <row r="65" spans="1:17" x14ac:dyDescent="0.2">
      <c r="A65" t="s">
        <v>0</v>
      </c>
      <c r="B65" t="s">
        <v>14</v>
      </c>
      <c r="C65" t="s">
        <v>15</v>
      </c>
      <c r="D65" t="s">
        <v>16</v>
      </c>
      <c r="E65" t="s">
        <v>17</v>
      </c>
      <c r="F65" t="s">
        <v>18</v>
      </c>
      <c r="G65" t="s">
        <v>19</v>
      </c>
      <c r="N65" s="1"/>
      <c r="Q65" s="1"/>
    </row>
    <row r="66" spans="1:17" x14ac:dyDescent="0.2">
      <c r="A66" t="s">
        <v>38</v>
      </c>
      <c r="B66">
        <v>8</v>
      </c>
      <c r="C66" t="s">
        <v>21</v>
      </c>
      <c r="D66" t="s">
        <v>1</v>
      </c>
      <c r="E66">
        <v>75.717870950698796</v>
      </c>
      <c r="F66">
        <v>39831</v>
      </c>
      <c r="G66">
        <v>3192</v>
      </c>
      <c r="N66" s="1"/>
      <c r="Q66" s="1"/>
    </row>
    <row r="67" spans="1:17" x14ac:dyDescent="0.2">
      <c r="A67" t="s">
        <v>0</v>
      </c>
      <c r="B67" t="s">
        <v>14</v>
      </c>
      <c r="C67" t="s">
        <v>15</v>
      </c>
      <c r="D67" t="s">
        <v>16</v>
      </c>
      <c r="E67" t="s">
        <v>17</v>
      </c>
      <c r="N67" s="1"/>
      <c r="Q67" s="1"/>
    </row>
    <row r="68" spans="1:17" x14ac:dyDescent="0.2">
      <c r="A68" t="s">
        <v>38</v>
      </c>
      <c r="B68">
        <v>8</v>
      </c>
      <c r="C68" t="s">
        <v>22</v>
      </c>
      <c r="D68" t="s">
        <v>23</v>
      </c>
      <c r="E68">
        <v>600.00957298278797</v>
      </c>
      <c r="F68">
        <v>224</v>
      </c>
      <c r="N68" s="1"/>
      <c r="Q68" s="1"/>
    </row>
    <row r="69" spans="1:17" x14ac:dyDescent="0.2">
      <c r="A69" t="s">
        <v>0</v>
      </c>
      <c r="B69" t="s">
        <v>14</v>
      </c>
      <c r="C69" t="s">
        <v>15</v>
      </c>
      <c r="D69" t="s">
        <v>16</v>
      </c>
      <c r="E69" t="s">
        <v>17</v>
      </c>
      <c r="F69" t="s">
        <v>18</v>
      </c>
      <c r="G69" t="s">
        <v>19</v>
      </c>
      <c r="N69" s="1"/>
      <c r="Q69" s="1"/>
    </row>
    <row r="70" spans="1:17" x14ac:dyDescent="0.2">
      <c r="A70" t="s">
        <v>38</v>
      </c>
      <c r="B70">
        <v>10</v>
      </c>
      <c r="C70" t="s">
        <v>21</v>
      </c>
      <c r="D70" t="s">
        <v>1</v>
      </c>
      <c r="E70">
        <v>168.0045940876</v>
      </c>
      <c r="F70">
        <v>58714</v>
      </c>
      <c r="G70">
        <v>3968</v>
      </c>
      <c r="N70" s="1"/>
      <c r="Q70" s="1"/>
    </row>
    <row r="71" spans="1:17" x14ac:dyDescent="0.2">
      <c r="A71" t="s">
        <v>0</v>
      </c>
      <c r="B71" t="s">
        <v>14</v>
      </c>
      <c r="C71" t="s">
        <v>15</v>
      </c>
      <c r="D71" t="s">
        <v>16</v>
      </c>
      <c r="E71" t="s">
        <v>17</v>
      </c>
      <c r="N71" s="1"/>
      <c r="Q71" s="1"/>
    </row>
    <row r="72" spans="1:17" x14ac:dyDescent="0.2">
      <c r="A72" t="s">
        <v>38</v>
      </c>
      <c r="B72">
        <v>10</v>
      </c>
      <c r="C72" t="s">
        <v>22</v>
      </c>
      <c r="D72" t="s">
        <v>23</v>
      </c>
      <c r="E72">
        <v>600.00276589393604</v>
      </c>
      <c r="F72">
        <v>238</v>
      </c>
      <c r="N72" s="1"/>
      <c r="Q72" s="1"/>
    </row>
    <row r="73" spans="1:17" x14ac:dyDescent="0.2">
      <c r="A73" t="s">
        <v>0</v>
      </c>
      <c r="B73" t="s">
        <v>14</v>
      </c>
      <c r="C73" t="s">
        <v>15</v>
      </c>
      <c r="D73" t="s">
        <v>16</v>
      </c>
      <c r="E73" t="s">
        <v>17</v>
      </c>
      <c r="F73" t="s">
        <v>18</v>
      </c>
      <c r="G73" t="s">
        <v>19</v>
      </c>
      <c r="N73" s="1"/>
      <c r="Q73" s="1"/>
    </row>
    <row r="74" spans="1:17" x14ac:dyDescent="0.2">
      <c r="A74" t="s">
        <v>38</v>
      </c>
      <c r="B74">
        <v>12</v>
      </c>
      <c r="C74" t="s">
        <v>21</v>
      </c>
      <c r="D74" t="s">
        <v>1</v>
      </c>
      <c r="E74">
        <v>19.979676008224398</v>
      </c>
      <c r="F74">
        <v>18650</v>
      </c>
      <c r="G74">
        <v>267</v>
      </c>
      <c r="N74" s="1"/>
      <c r="Q74" s="1"/>
    </row>
    <row r="75" spans="1:17" x14ac:dyDescent="0.2">
      <c r="A75" t="s">
        <v>0</v>
      </c>
      <c r="B75" t="s">
        <v>14</v>
      </c>
      <c r="C75" t="s">
        <v>15</v>
      </c>
      <c r="D75" t="s">
        <v>16</v>
      </c>
      <c r="E75" t="s">
        <v>17</v>
      </c>
      <c r="N75" s="1"/>
      <c r="Q75" s="1"/>
    </row>
    <row r="76" spans="1:17" x14ac:dyDescent="0.2">
      <c r="A76" t="s">
        <v>38</v>
      </c>
      <c r="B76">
        <v>12</v>
      </c>
      <c r="C76" t="s">
        <v>22</v>
      </c>
      <c r="D76" t="s">
        <v>23</v>
      </c>
      <c r="E76">
        <v>600.00686597824097</v>
      </c>
      <c r="F76">
        <v>229</v>
      </c>
      <c r="N76" s="1"/>
      <c r="Q76" s="1"/>
    </row>
    <row r="77" spans="1:17" x14ac:dyDescent="0.2">
      <c r="A77" t="s">
        <v>0</v>
      </c>
      <c r="B77" t="s">
        <v>14</v>
      </c>
      <c r="C77" t="s">
        <v>15</v>
      </c>
      <c r="D77" t="s">
        <v>16</v>
      </c>
      <c r="E77" t="s">
        <v>17</v>
      </c>
      <c r="F77" t="s">
        <v>18</v>
      </c>
      <c r="G77" t="s">
        <v>19</v>
      </c>
      <c r="N77" s="1"/>
      <c r="Q77" s="1"/>
    </row>
    <row r="78" spans="1:17" x14ac:dyDescent="0.2">
      <c r="A78" t="s">
        <v>38</v>
      </c>
      <c r="B78">
        <v>300</v>
      </c>
      <c r="C78" t="s">
        <v>21</v>
      </c>
      <c r="D78" t="s">
        <v>1</v>
      </c>
      <c r="E78">
        <v>27.1881120204925</v>
      </c>
      <c r="F78">
        <v>22010</v>
      </c>
      <c r="G78">
        <v>284</v>
      </c>
      <c r="N78" s="1"/>
      <c r="Q78" s="1"/>
    </row>
    <row r="79" spans="1:17" x14ac:dyDescent="0.2">
      <c r="A79" t="s">
        <v>0</v>
      </c>
      <c r="B79" t="s">
        <v>14</v>
      </c>
      <c r="C79" t="s">
        <v>15</v>
      </c>
      <c r="D79" t="s">
        <v>16</v>
      </c>
      <c r="E79" t="s">
        <v>17</v>
      </c>
      <c r="N79" s="1"/>
      <c r="Q79" s="1"/>
    </row>
    <row r="80" spans="1:17" x14ac:dyDescent="0.2">
      <c r="A80" t="s">
        <v>38</v>
      </c>
      <c r="B80">
        <v>300</v>
      </c>
      <c r="C80" t="s">
        <v>22</v>
      </c>
      <c r="D80" t="s">
        <v>23</v>
      </c>
      <c r="E80">
        <v>600.008068084716</v>
      </c>
      <c r="F80">
        <v>257</v>
      </c>
      <c r="N80" s="1"/>
      <c r="Q80" s="1"/>
    </row>
    <row r="81" spans="1:17" x14ac:dyDescent="0.2">
      <c r="A81" t="s">
        <v>0</v>
      </c>
      <c r="B81" t="s">
        <v>14</v>
      </c>
      <c r="C81" t="s">
        <v>15</v>
      </c>
      <c r="D81" t="s">
        <v>16</v>
      </c>
      <c r="E81" t="s">
        <v>17</v>
      </c>
      <c r="F81" t="s">
        <v>18</v>
      </c>
      <c r="G81" t="s">
        <v>19</v>
      </c>
      <c r="N81" s="1"/>
      <c r="Q81" s="1"/>
    </row>
    <row r="82" spans="1:17" x14ac:dyDescent="0.2">
      <c r="A82" t="s">
        <v>39</v>
      </c>
      <c r="B82">
        <v>6</v>
      </c>
      <c r="C82" t="s">
        <v>21</v>
      </c>
      <c r="D82" t="s">
        <v>1</v>
      </c>
      <c r="E82">
        <v>3.9864208698272701</v>
      </c>
      <c r="F82">
        <v>2670</v>
      </c>
      <c r="G82">
        <v>425</v>
      </c>
      <c r="N82" s="1"/>
      <c r="Q82" s="1"/>
    </row>
    <row r="83" spans="1:17" x14ac:dyDescent="0.2">
      <c r="A83" t="s">
        <v>0</v>
      </c>
      <c r="B83" t="s">
        <v>14</v>
      </c>
      <c r="C83" t="s">
        <v>15</v>
      </c>
      <c r="D83" t="s">
        <v>16</v>
      </c>
      <c r="E83" t="s">
        <v>17</v>
      </c>
      <c r="N83" s="1"/>
      <c r="Q83" s="1"/>
    </row>
    <row r="84" spans="1:17" x14ac:dyDescent="0.2">
      <c r="A84" t="s">
        <v>39</v>
      </c>
      <c r="B84">
        <v>6</v>
      </c>
      <c r="C84" t="s">
        <v>22</v>
      </c>
      <c r="D84" t="s">
        <v>23</v>
      </c>
      <c r="E84">
        <v>358.06737303733797</v>
      </c>
      <c r="F84">
        <v>131</v>
      </c>
      <c r="N84" s="1"/>
      <c r="Q84" s="1"/>
    </row>
    <row r="85" spans="1:17" x14ac:dyDescent="0.2">
      <c r="A85" t="s">
        <v>0</v>
      </c>
      <c r="B85" t="s">
        <v>14</v>
      </c>
      <c r="C85" t="s">
        <v>15</v>
      </c>
      <c r="D85" t="s">
        <v>16</v>
      </c>
      <c r="E85" t="s">
        <v>17</v>
      </c>
      <c r="F85" t="s">
        <v>18</v>
      </c>
      <c r="G85" t="s">
        <v>19</v>
      </c>
      <c r="N85" s="1"/>
      <c r="Q85" s="1"/>
    </row>
    <row r="86" spans="1:17" x14ac:dyDescent="0.2">
      <c r="A86" t="s">
        <v>39</v>
      </c>
      <c r="B86">
        <v>8</v>
      </c>
      <c r="C86" t="s">
        <v>21</v>
      </c>
      <c r="D86" t="s">
        <v>1</v>
      </c>
      <c r="E86">
        <v>6.8822829723358101</v>
      </c>
      <c r="F86">
        <v>5509</v>
      </c>
      <c r="G86">
        <v>491</v>
      </c>
      <c r="N86" s="1"/>
      <c r="Q86" s="1"/>
    </row>
    <row r="87" spans="1:17" x14ac:dyDescent="0.2">
      <c r="A87" t="s">
        <v>0</v>
      </c>
      <c r="B87" t="s">
        <v>14</v>
      </c>
      <c r="C87" t="s">
        <v>15</v>
      </c>
      <c r="D87" t="s">
        <v>16</v>
      </c>
      <c r="E87" t="s">
        <v>17</v>
      </c>
      <c r="N87" s="1"/>
      <c r="Q87" s="1"/>
    </row>
    <row r="88" spans="1:17" x14ac:dyDescent="0.2">
      <c r="A88" t="s">
        <v>39</v>
      </c>
      <c r="B88">
        <v>8</v>
      </c>
      <c r="C88" t="s">
        <v>22</v>
      </c>
      <c r="D88" t="s">
        <v>23</v>
      </c>
      <c r="E88">
        <v>192.46803402900599</v>
      </c>
      <c r="F88">
        <v>68</v>
      </c>
      <c r="N88" s="1"/>
      <c r="Q88" s="1"/>
    </row>
    <row r="89" spans="1:17" x14ac:dyDescent="0.2">
      <c r="A89" t="s">
        <v>0</v>
      </c>
      <c r="B89" t="s">
        <v>14</v>
      </c>
      <c r="C89" t="s">
        <v>15</v>
      </c>
      <c r="D89" t="s">
        <v>16</v>
      </c>
      <c r="E89" t="s">
        <v>17</v>
      </c>
      <c r="F89" t="s">
        <v>18</v>
      </c>
      <c r="G89" t="s">
        <v>19</v>
      </c>
      <c r="N89" s="1"/>
      <c r="Q89" s="1"/>
    </row>
    <row r="90" spans="1:17" x14ac:dyDescent="0.2">
      <c r="A90" t="s">
        <v>39</v>
      </c>
      <c r="B90">
        <v>10</v>
      </c>
      <c r="C90" t="s">
        <v>21</v>
      </c>
      <c r="D90" t="s">
        <v>1</v>
      </c>
      <c r="E90">
        <v>13.5031080245971</v>
      </c>
      <c r="F90">
        <v>11892</v>
      </c>
      <c r="G90">
        <v>790</v>
      </c>
      <c r="N90" s="1"/>
      <c r="Q90" s="1"/>
    </row>
    <row r="91" spans="1:17" x14ac:dyDescent="0.2">
      <c r="A91" t="s">
        <v>0</v>
      </c>
      <c r="B91" t="s">
        <v>14</v>
      </c>
      <c r="C91" t="s">
        <v>15</v>
      </c>
      <c r="D91" t="s">
        <v>16</v>
      </c>
      <c r="E91" t="s">
        <v>17</v>
      </c>
      <c r="N91" s="1"/>
      <c r="Q91" s="1"/>
    </row>
    <row r="92" spans="1:17" x14ac:dyDescent="0.2">
      <c r="A92" t="s">
        <v>39</v>
      </c>
      <c r="B92">
        <v>10</v>
      </c>
      <c r="C92" t="s">
        <v>22</v>
      </c>
      <c r="D92" t="s">
        <v>23</v>
      </c>
      <c r="E92">
        <v>330.26746702194202</v>
      </c>
      <c r="F92">
        <v>123</v>
      </c>
      <c r="N92" s="1"/>
      <c r="Q92" s="1"/>
    </row>
    <row r="93" spans="1:17" x14ac:dyDescent="0.2">
      <c r="A93" t="s">
        <v>0</v>
      </c>
      <c r="B93" t="s">
        <v>14</v>
      </c>
      <c r="C93" t="s">
        <v>15</v>
      </c>
      <c r="D93" t="s">
        <v>16</v>
      </c>
      <c r="E93" t="s">
        <v>17</v>
      </c>
      <c r="F93" t="s">
        <v>18</v>
      </c>
      <c r="G93" t="s">
        <v>19</v>
      </c>
      <c r="N93" s="1"/>
      <c r="Q93" s="1"/>
    </row>
    <row r="94" spans="1:17" x14ac:dyDescent="0.2">
      <c r="A94" t="s">
        <v>39</v>
      </c>
      <c r="B94">
        <v>12</v>
      </c>
      <c r="C94" t="s">
        <v>21</v>
      </c>
      <c r="D94" t="s">
        <v>1</v>
      </c>
      <c r="E94">
        <v>1.0734269618987999</v>
      </c>
      <c r="F94">
        <v>1141</v>
      </c>
      <c r="G94">
        <v>81</v>
      </c>
      <c r="N94" s="1"/>
      <c r="Q94" s="1"/>
    </row>
    <row r="95" spans="1:17" x14ac:dyDescent="0.2">
      <c r="A95" t="s">
        <v>0</v>
      </c>
      <c r="B95" t="s">
        <v>14</v>
      </c>
      <c r="C95" t="s">
        <v>15</v>
      </c>
      <c r="D95" t="s">
        <v>16</v>
      </c>
      <c r="E95" t="s">
        <v>17</v>
      </c>
      <c r="N95" s="1"/>
      <c r="Q95" s="1"/>
    </row>
    <row r="96" spans="1:17" x14ac:dyDescent="0.2">
      <c r="A96" t="s">
        <v>39</v>
      </c>
      <c r="B96">
        <v>12</v>
      </c>
      <c r="C96" t="s">
        <v>22</v>
      </c>
      <c r="D96" t="s">
        <v>23</v>
      </c>
      <c r="E96">
        <v>247.73626899719201</v>
      </c>
      <c r="F96">
        <v>92</v>
      </c>
      <c r="N96" s="1"/>
      <c r="Q96" s="1"/>
    </row>
    <row r="97" spans="1:17" x14ac:dyDescent="0.2">
      <c r="A97" t="s">
        <v>0</v>
      </c>
      <c r="B97" t="s">
        <v>14</v>
      </c>
      <c r="C97" t="s">
        <v>15</v>
      </c>
      <c r="D97" t="s">
        <v>16</v>
      </c>
      <c r="E97" t="s">
        <v>17</v>
      </c>
      <c r="F97" t="s">
        <v>18</v>
      </c>
      <c r="G97" t="s">
        <v>19</v>
      </c>
      <c r="N97" s="1"/>
      <c r="Q97" s="1"/>
    </row>
    <row r="98" spans="1:17" x14ac:dyDescent="0.2">
      <c r="A98" t="s">
        <v>39</v>
      </c>
      <c r="B98">
        <v>300</v>
      </c>
      <c r="C98" t="s">
        <v>21</v>
      </c>
      <c r="D98" t="s">
        <v>1</v>
      </c>
      <c r="E98">
        <v>1.05376696586608</v>
      </c>
      <c r="F98">
        <v>813</v>
      </c>
      <c r="G98">
        <v>82</v>
      </c>
      <c r="N98" s="1"/>
      <c r="Q98" s="1"/>
    </row>
    <row r="99" spans="1:17" x14ac:dyDescent="0.2">
      <c r="A99" t="s">
        <v>0</v>
      </c>
      <c r="B99" t="s">
        <v>14</v>
      </c>
      <c r="C99" t="s">
        <v>15</v>
      </c>
      <c r="D99" t="s">
        <v>16</v>
      </c>
      <c r="E99" t="s">
        <v>17</v>
      </c>
      <c r="N99" s="1"/>
      <c r="Q99" s="1"/>
    </row>
    <row r="100" spans="1:17" x14ac:dyDescent="0.2">
      <c r="A100" t="s">
        <v>39</v>
      </c>
      <c r="B100">
        <v>300</v>
      </c>
      <c r="C100" t="s">
        <v>22</v>
      </c>
      <c r="D100" t="s">
        <v>23</v>
      </c>
      <c r="E100">
        <v>600.00286602973904</v>
      </c>
      <c r="F100">
        <v>224</v>
      </c>
      <c r="N100" s="1"/>
      <c r="Q100" s="1"/>
    </row>
    <row r="101" spans="1:17" x14ac:dyDescent="0.2">
      <c r="A101" t="s">
        <v>0</v>
      </c>
      <c r="B101" t="s">
        <v>14</v>
      </c>
      <c r="C101" t="s">
        <v>15</v>
      </c>
      <c r="D101" t="s">
        <v>16</v>
      </c>
      <c r="E101" t="s">
        <v>17</v>
      </c>
      <c r="F101" t="s">
        <v>18</v>
      </c>
      <c r="G101" t="s">
        <v>19</v>
      </c>
      <c r="N101" s="1"/>
      <c r="Q101" s="1"/>
    </row>
    <row r="102" spans="1:17" x14ac:dyDescent="0.2">
      <c r="A102" t="s">
        <v>40</v>
      </c>
      <c r="B102">
        <v>6</v>
      </c>
      <c r="C102" t="s">
        <v>21</v>
      </c>
      <c r="D102" t="s">
        <v>1</v>
      </c>
      <c r="E102">
        <v>3.6641349792480402</v>
      </c>
      <c r="F102">
        <v>2478</v>
      </c>
      <c r="G102">
        <v>420</v>
      </c>
      <c r="N102" s="1"/>
      <c r="Q102" s="1"/>
    </row>
    <row r="103" spans="1:17" x14ac:dyDescent="0.2">
      <c r="A103" t="s">
        <v>0</v>
      </c>
      <c r="B103" t="s">
        <v>14</v>
      </c>
      <c r="C103" t="s">
        <v>15</v>
      </c>
      <c r="D103" t="s">
        <v>16</v>
      </c>
      <c r="E103" t="s">
        <v>17</v>
      </c>
      <c r="N103" s="1"/>
      <c r="Q103" s="1"/>
    </row>
    <row r="104" spans="1:17" x14ac:dyDescent="0.2">
      <c r="A104" t="s">
        <v>40</v>
      </c>
      <c r="B104">
        <v>6</v>
      </c>
      <c r="C104" t="s">
        <v>22</v>
      </c>
      <c r="D104" t="s">
        <v>23</v>
      </c>
      <c r="E104">
        <v>155.51571607589699</v>
      </c>
      <c r="F104">
        <v>55</v>
      </c>
      <c r="N104" s="1"/>
      <c r="Q104" s="1"/>
    </row>
    <row r="105" spans="1:17" x14ac:dyDescent="0.2">
      <c r="A105" t="s">
        <v>0</v>
      </c>
      <c r="B105" t="s">
        <v>14</v>
      </c>
      <c r="C105" t="s">
        <v>15</v>
      </c>
      <c r="D105" t="s">
        <v>16</v>
      </c>
      <c r="E105" t="s">
        <v>17</v>
      </c>
      <c r="F105" t="s">
        <v>18</v>
      </c>
      <c r="G105" t="s">
        <v>19</v>
      </c>
      <c r="N105" s="1"/>
      <c r="Q105" s="1"/>
    </row>
    <row r="106" spans="1:17" x14ac:dyDescent="0.2">
      <c r="A106" t="s">
        <v>40</v>
      </c>
      <c r="B106">
        <v>8</v>
      </c>
      <c r="C106" t="s">
        <v>21</v>
      </c>
      <c r="D106" t="s">
        <v>1</v>
      </c>
      <c r="E106">
        <v>10.346696853637599</v>
      </c>
      <c r="F106">
        <v>8220</v>
      </c>
      <c r="G106">
        <v>771</v>
      </c>
      <c r="N106" s="1"/>
      <c r="Q106" s="1"/>
    </row>
    <row r="107" spans="1:17" x14ac:dyDescent="0.2">
      <c r="A107" t="s">
        <v>0</v>
      </c>
      <c r="B107" t="s">
        <v>14</v>
      </c>
      <c r="C107" t="s">
        <v>15</v>
      </c>
      <c r="D107" t="s">
        <v>16</v>
      </c>
      <c r="E107" t="s">
        <v>17</v>
      </c>
      <c r="N107" s="1"/>
      <c r="Q107" s="1"/>
    </row>
    <row r="108" spans="1:17" x14ac:dyDescent="0.2">
      <c r="A108" t="s">
        <v>40</v>
      </c>
      <c r="B108">
        <v>8</v>
      </c>
      <c r="C108" t="s">
        <v>22</v>
      </c>
      <c r="D108" t="s">
        <v>23</v>
      </c>
      <c r="E108">
        <v>307.62255382537802</v>
      </c>
      <c r="F108">
        <v>110</v>
      </c>
      <c r="N108" s="1"/>
      <c r="Q108" s="1"/>
    </row>
    <row r="109" spans="1:17" x14ac:dyDescent="0.2">
      <c r="A109" t="s">
        <v>0</v>
      </c>
      <c r="B109" t="s">
        <v>14</v>
      </c>
      <c r="C109" t="s">
        <v>15</v>
      </c>
      <c r="D109" t="s">
        <v>16</v>
      </c>
      <c r="E109" t="s">
        <v>17</v>
      </c>
      <c r="F109" t="s">
        <v>18</v>
      </c>
      <c r="G109" t="s">
        <v>19</v>
      </c>
      <c r="N109" s="1"/>
      <c r="Q109" s="1"/>
    </row>
    <row r="110" spans="1:17" x14ac:dyDescent="0.2">
      <c r="A110" t="s">
        <v>40</v>
      </c>
      <c r="B110">
        <v>10</v>
      </c>
      <c r="C110" t="s">
        <v>21</v>
      </c>
      <c r="D110" t="s">
        <v>1</v>
      </c>
      <c r="E110">
        <v>26.946895837783799</v>
      </c>
      <c r="F110">
        <v>15451</v>
      </c>
      <c r="G110">
        <v>1151</v>
      </c>
      <c r="N110" s="1"/>
      <c r="Q110" s="1"/>
    </row>
    <row r="111" spans="1:17" x14ac:dyDescent="0.2">
      <c r="A111" t="s">
        <v>0</v>
      </c>
      <c r="B111" t="s">
        <v>14</v>
      </c>
      <c r="C111" t="s">
        <v>15</v>
      </c>
      <c r="D111" t="s">
        <v>16</v>
      </c>
      <c r="E111" t="s">
        <v>17</v>
      </c>
      <c r="N111" s="1"/>
      <c r="Q111" s="1"/>
    </row>
    <row r="112" spans="1:17" x14ac:dyDescent="0.2">
      <c r="A112" t="s">
        <v>40</v>
      </c>
      <c r="B112">
        <v>10</v>
      </c>
      <c r="C112" t="s">
        <v>22</v>
      </c>
      <c r="D112" t="s">
        <v>23</v>
      </c>
      <c r="E112">
        <v>600.00390696525506</v>
      </c>
      <c r="F112">
        <v>209</v>
      </c>
      <c r="N112" s="1"/>
      <c r="Q112" s="1"/>
    </row>
    <row r="113" spans="1:17" x14ac:dyDescent="0.2">
      <c r="A113" t="s">
        <v>0</v>
      </c>
      <c r="B113" t="s">
        <v>14</v>
      </c>
      <c r="C113" t="s">
        <v>15</v>
      </c>
      <c r="D113" t="s">
        <v>16</v>
      </c>
      <c r="E113" t="s">
        <v>17</v>
      </c>
      <c r="F113" t="s">
        <v>18</v>
      </c>
      <c r="G113" t="s">
        <v>19</v>
      </c>
      <c r="N113" s="1"/>
      <c r="Q113" s="1"/>
    </row>
    <row r="114" spans="1:17" x14ac:dyDescent="0.2">
      <c r="A114" t="s">
        <v>40</v>
      </c>
      <c r="B114">
        <v>12</v>
      </c>
      <c r="C114" t="s">
        <v>21</v>
      </c>
      <c r="D114" t="s">
        <v>1</v>
      </c>
      <c r="E114">
        <v>6.6232089996337802</v>
      </c>
      <c r="F114">
        <v>7094</v>
      </c>
      <c r="G114">
        <v>275</v>
      </c>
      <c r="N114" s="1"/>
      <c r="Q114" s="1"/>
    </row>
    <row r="115" spans="1:17" x14ac:dyDescent="0.2">
      <c r="A115" t="s">
        <v>0</v>
      </c>
      <c r="B115" t="s">
        <v>14</v>
      </c>
      <c r="C115" t="s">
        <v>15</v>
      </c>
      <c r="D115" t="s">
        <v>16</v>
      </c>
      <c r="E115" t="s">
        <v>17</v>
      </c>
      <c r="N115" s="1"/>
      <c r="Q115" s="1"/>
    </row>
    <row r="116" spans="1:17" x14ac:dyDescent="0.2">
      <c r="A116" t="s">
        <v>40</v>
      </c>
      <c r="B116">
        <v>12</v>
      </c>
      <c r="C116" t="s">
        <v>22</v>
      </c>
      <c r="D116" t="s">
        <v>23</v>
      </c>
      <c r="E116">
        <v>121.399668216705</v>
      </c>
      <c r="F116">
        <v>47</v>
      </c>
      <c r="N116" s="1"/>
      <c r="Q116" s="1"/>
    </row>
    <row r="117" spans="1:17" x14ac:dyDescent="0.2">
      <c r="A117" t="s">
        <v>0</v>
      </c>
      <c r="B117" t="s">
        <v>14</v>
      </c>
      <c r="C117" t="s">
        <v>15</v>
      </c>
      <c r="D117" t="s">
        <v>16</v>
      </c>
      <c r="E117" t="s">
        <v>17</v>
      </c>
      <c r="F117" t="s">
        <v>18</v>
      </c>
      <c r="G117" t="s">
        <v>19</v>
      </c>
      <c r="N117" s="1"/>
      <c r="Q117" s="1"/>
    </row>
    <row r="118" spans="1:17" x14ac:dyDescent="0.2">
      <c r="A118" t="s">
        <v>40</v>
      </c>
      <c r="B118">
        <v>300</v>
      </c>
      <c r="C118" t="s">
        <v>21</v>
      </c>
      <c r="D118" t="s">
        <v>1</v>
      </c>
      <c r="E118">
        <v>7.6456930637359601</v>
      </c>
      <c r="F118">
        <v>9391</v>
      </c>
      <c r="G118">
        <v>257</v>
      </c>
      <c r="N118" s="1"/>
      <c r="Q118" s="1"/>
    </row>
    <row r="119" spans="1:17" x14ac:dyDescent="0.2">
      <c r="A119" t="s">
        <v>0</v>
      </c>
      <c r="B119" t="s">
        <v>14</v>
      </c>
      <c r="C119" t="s">
        <v>15</v>
      </c>
      <c r="D119" t="s">
        <v>16</v>
      </c>
      <c r="E119" t="s">
        <v>17</v>
      </c>
      <c r="N119" s="1"/>
      <c r="Q119" s="1"/>
    </row>
    <row r="120" spans="1:17" x14ac:dyDescent="0.2">
      <c r="A120" t="s">
        <v>40</v>
      </c>
      <c r="B120">
        <v>300</v>
      </c>
      <c r="C120" t="s">
        <v>22</v>
      </c>
      <c r="D120" t="s">
        <v>23</v>
      </c>
      <c r="E120">
        <v>600.00490593910195</v>
      </c>
      <c r="F120">
        <v>214</v>
      </c>
      <c r="N120" s="1"/>
      <c r="Q120" s="1"/>
    </row>
    <row r="121" spans="1:17" x14ac:dyDescent="0.2">
      <c r="A121" t="s">
        <v>0</v>
      </c>
      <c r="B121" t="s">
        <v>14</v>
      </c>
      <c r="C121" t="s">
        <v>15</v>
      </c>
      <c r="D121" t="s">
        <v>16</v>
      </c>
      <c r="E121" t="s">
        <v>17</v>
      </c>
      <c r="F121" t="s">
        <v>18</v>
      </c>
      <c r="G121" t="s">
        <v>19</v>
      </c>
      <c r="N121" s="1"/>
      <c r="Q121" s="1"/>
    </row>
    <row r="122" spans="1:17" x14ac:dyDescent="0.2">
      <c r="A122" t="s">
        <v>41</v>
      </c>
      <c r="B122">
        <v>6</v>
      </c>
      <c r="C122" t="s">
        <v>21</v>
      </c>
      <c r="D122" t="s">
        <v>1</v>
      </c>
      <c r="E122">
        <v>2.8191010951995801</v>
      </c>
      <c r="F122">
        <v>2009</v>
      </c>
      <c r="G122">
        <v>323</v>
      </c>
      <c r="N122" s="1"/>
      <c r="Q122" s="1"/>
    </row>
    <row r="123" spans="1:17" x14ac:dyDescent="0.2">
      <c r="A123" t="s">
        <v>0</v>
      </c>
      <c r="B123" t="s">
        <v>14</v>
      </c>
      <c r="C123" t="s">
        <v>15</v>
      </c>
      <c r="D123" t="s">
        <v>16</v>
      </c>
      <c r="E123" t="s">
        <v>17</v>
      </c>
      <c r="N123" s="1"/>
      <c r="Q123" s="1"/>
    </row>
    <row r="124" spans="1:17" x14ac:dyDescent="0.2">
      <c r="A124" t="s">
        <v>41</v>
      </c>
      <c r="B124">
        <v>6</v>
      </c>
      <c r="C124" t="s">
        <v>22</v>
      </c>
      <c r="D124" t="s">
        <v>23</v>
      </c>
      <c r="E124">
        <v>551.524850845336</v>
      </c>
      <c r="F124">
        <v>227</v>
      </c>
      <c r="N124" s="1"/>
      <c r="Q124" s="1"/>
    </row>
    <row r="125" spans="1:17" x14ac:dyDescent="0.2">
      <c r="A125" t="s">
        <v>0</v>
      </c>
      <c r="B125" t="s">
        <v>14</v>
      </c>
      <c r="C125" t="s">
        <v>15</v>
      </c>
      <c r="D125" t="s">
        <v>16</v>
      </c>
      <c r="E125" t="s">
        <v>17</v>
      </c>
      <c r="F125" t="s">
        <v>18</v>
      </c>
      <c r="G125" t="s">
        <v>19</v>
      </c>
      <c r="N125" s="1"/>
      <c r="Q125" s="1"/>
    </row>
    <row r="126" spans="1:17" x14ac:dyDescent="0.2">
      <c r="A126" t="s">
        <v>41</v>
      </c>
      <c r="B126">
        <v>8</v>
      </c>
      <c r="C126" t="s">
        <v>21</v>
      </c>
      <c r="D126" t="s">
        <v>1</v>
      </c>
      <c r="E126">
        <v>4.07834601402282</v>
      </c>
      <c r="F126">
        <v>4395</v>
      </c>
      <c r="G126">
        <v>337</v>
      </c>
      <c r="N126" s="1"/>
      <c r="Q126" s="1"/>
    </row>
    <row r="127" spans="1:17" x14ac:dyDescent="0.2">
      <c r="A127" t="s">
        <v>0</v>
      </c>
      <c r="B127" t="s">
        <v>14</v>
      </c>
      <c r="C127" t="s">
        <v>15</v>
      </c>
      <c r="D127" t="s">
        <v>16</v>
      </c>
      <c r="E127" t="s">
        <v>17</v>
      </c>
      <c r="N127" s="1"/>
      <c r="Q127" s="1"/>
    </row>
    <row r="128" spans="1:17" x14ac:dyDescent="0.2">
      <c r="A128" t="s">
        <v>41</v>
      </c>
      <c r="B128">
        <v>8</v>
      </c>
      <c r="C128" t="s">
        <v>22</v>
      </c>
      <c r="D128" t="s">
        <v>23</v>
      </c>
      <c r="E128">
        <v>600.00407409667901</v>
      </c>
      <c r="F128">
        <v>210</v>
      </c>
      <c r="N128" s="1"/>
      <c r="Q128" s="1"/>
    </row>
    <row r="129" spans="1:17" x14ac:dyDescent="0.2">
      <c r="A129" t="s">
        <v>0</v>
      </c>
      <c r="B129" t="s">
        <v>14</v>
      </c>
      <c r="C129" t="s">
        <v>15</v>
      </c>
      <c r="D129" t="s">
        <v>16</v>
      </c>
      <c r="E129" t="s">
        <v>17</v>
      </c>
      <c r="F129" t="s">
        <v>18</v>
      </c>
      <c r="G129" t="s">
        <v>19</v>
      </c>
      <c r="N129" s="1"/>
      <c r="Q129" s="1"/>
    </row>
    <row r="130" spans="1:17" x14ac:dyDescent="0.2">
      <c r="A130" t="s">
        <v>41</v>
      </c>
      <c r="B130">
        <v>10</v>
      </c>
      <c r="C130" t="s">
        <v>21</v>
      </c>
      <c r="D130" t="s">
        <v>1</v>
      </c>
      <c r="E130">
        <v>5.0847277641296298</v>
      </c>
      <c r="F130">
        <v>5494</v>
      </c>
      <c r="G130">
        <v>334</v>
      </c>
      <c r="N130" s="1"/>
      <c r="Q130" s="1"/>
    </row>
    <row r="131" spans="1:17" x14ac:dyDescent="0.2">
      <c r="A131" t="s">
        <v>0</v>
      </c>
      <c r="B131" t="s">
        <v>14</v>
      </c>
      <c r="C131" t="s">
        <v>15</v>
      </c>
      <c r="D131" t="s">
        <v>16</v>
      </c>
      <c r="E131" t="s">
        <v>17</v>
      </c>
      <c r="N131" s="1"/>
      <c r="Q131" s="1"/>
    </row>
    <row r="132" spans="1:17" x14ac:dyDescent="0.2">
      <c r="A132" t="s">
        <v>41</v>
      </c>
      <c r="B132">
        <v>10</v>
      </c>
      <c r="C132" t="s">
        <v>22</v>
      </c>
      <c r="D132" t="s">
        <v>23</v>
      </c>
      <c r="E132">
        <v>199.03259110450699</v>
      </c>
      <c r="F132">
        <v>63</v>
      </c>
      <c r="N132" s="1"/>
      <c r="Q132" s="1"/>
    </row>
    <row r="133" spans="1:17" x14ac:dyDescent="0.2">
      <c r="A133" t="s">
        <v>0</v>
      </c>
      <c r="B133" t="s">
        <v>14</v>
      </c>
      <c r="C133" t="s">
        <v>15</v>
      </c>
      <c r="D133" t="s">
        <v>16</v>
      </c>
      <c r="E133" t="s">
        <v>17</v>
      </c>
      <c r="F133" t="s">
        <v>18</v>
      </c>
      <c r="G133" t="s">
        <v>19</v>
      </c>
      <c r="N133" s="1"/>
      <c r="Q133" s="1"/>
    </row>
    <row r="134" spans="1:17" x14ac:dyDescent="0.2">
      <c r="A134" t="s">
        <v>41</v>
      </c>
      <c r="B134">
        <v>12</v>
      </c>
      <c r="C134" t="s">
        <v>21</v>
      </c>
      <c r="D134" t="s">
        <v>1</v>
      </c>
      <c r="E134">
        <v>0.714161157608032</v>
      </c>
      <c r="F134">
        <v>1278</v>
      </c>
      <c r="G134">
        <v>37</v>
      </c>
      <c r="N134" s="1"/>
      <c r="Q134" s="1"/>
    </row>
    <row r="135" spans="1:17" x14ac:dyDescent="0.2">
      <c r="A135" t="s">
        <v>0</v>
      </c>
      <c r="B135" t="s">
        <v>14</v>
      </c>
      <c r="C135" t="s">
        <v>15</v>
      </c>
      <c r="D135" t="s">
        <v>16</v>
      </c>
      <c r="E135" t="s">
        <v>17</v>
      </c>
      <c r="N135" s="1"/>
      <c r="Q135" s="1"/>
    </row>
    <row r="136" spans="1:17" x14ac:dyDescent="0.2">
      <c r="A136" t="s">
        <v>41</v>
      </c>
      <c r="B136">
        <v>12</v>
      </c>
      <c r="C136" t="s">
        <v>22</v>
      </c>
      <c r="D136" t="s">
        <v>23</v>
      </c>
      <c r="E136">
        <v>577.76867294311501</v>
      </c>
      <c r="F136">
        <v>208</v>
      </c>
      <c r="N136" s="1"/>
      <c r="Q136" s="1"/>
    </row>
    <row r="137" spans="1:17" x14ac:dyDescent="0.2">
      <c r="A137" t="s">
        <v>0</v>
      </c>
      <c r="B137" t="s">
        <v>14</v>
      </c>
      <c r="C137" t="s">
        <v>15</v>
      </c>
      <c r="D137" t="s">
        <v>16</v>
      </c>
      <c r="E137" t="s">
        <v>17</v>
      </c>
      <c r="F137" t="s">
        <v>18</v>
      </c>
      <c r="G137" t="s">
        <v>19</v>
      </c>
      <c r="N137" s="1"/>
      <c r="Q137" s="1"/>
    </row>
    <row r="138" spans="1:17" x14ac:dyDescent="0.2">
      <c r="A138" t="s">
        <v>41</v>
      </c>
      <c r="B138">
        <v>300</v>
      </c>
      <c r="C138" t="s">
        <v>21</v>
      </c>
      <c r="D138" t="s">
        <v>1</v>
      </c>
      <c r="E138">
        <v>1.4333648681640601</v>
      </c>
      <c r="F138">
        <v>2940</v>
      </c>
      <c r="G138">
        <v>37</v>
      </c>
      <c r="N138" s="1"/>
      <c r="Q138" s="1"/>
    </row>
    <row r="139" spans="1:17" x14ac:dyDescent="0.2">
      <c r="A139" t="s">
        <v>0</v>
      </c>
      <c r="B139" t="s">
        <v>14</v>
      </c>
      <c r="C139" t="s">
        <v>15</v>
      </c>
      <c r="D139" t="s">
        <v>16</v>
      </c>
      <c r="E139" t="s">
        <v>17</v>
      </c>
      <c r="N139" s="1"/>
      <c r="Q139" s="1"/>
    </row>
    <row r="140" spans="1:17" x14ac:dyDescent="0.2">
      <c r="A140" t="s">
        <v>41</v>
      </c>
      <c r="B140">
        <v>300</v>
      </c>
      <c r="C140" t="s">
        <v>22</v>
      </c>
      <c r="D140" t="s">
        <v>23</v>
      </c>
      <c r="E140">
        <v>600.01974487304597</v>
      </c>
      <c r="F140">
        <v>200</v>
      </c>
      <c r="N140" s="1"/>
      <c r="Q140" s="1"/>
    </row>
    <row r="141" spans="1:17" x14ac:dyDescent="0.2">
      <c r="A141" t="s">
        <v>0</v>
      </c>
      <c r="B141" t="s">
        <v>14</v>
      </c>
      <c r="C141" t="s">
        <v>15</v>
      </c>
      <c r="D141" t="s">
        <v>16</v>
      </c>
      <c r="E141" t="s">
        <v>17</v>
      </c>
      <c r="F141" t="s">
        <v>18</v>
      </c>
      <c r="G141" t="s">
        <v>19</v>
      </c>
      <c r="N141" s="1"/>
      <c r="Q141" s="1"/>
    </row>
    <row r="142" spans="1:17" x14ac:dyDescent="0.2">
      <c r="A142" t="s">
        <v>42</v>
      </c>
      <c r="B142">
        <v>6</v>
      </c>
      <c r="C142" t="s">
        <v>21</v>
      </c>
      <c r="D142" t="s">
        <v>1</v>
      </c>
      <c r="E142">
        <v>5.2785370349883998</v>
      </c>
      <c r="F142">
        <v>3174</v>
      </c>
      <c r="G142">
        <v>589</v>
      </c>
      <c r="N142" s="1"/>
      <c r="Q142" s="1"/>
    </row>
    <row r="143" spans="1:17" x14ac:dyDescent="0.2">
      <c r="A143" t="s">
        <v>0</v>
      </c>
      <c r="B143" t="s">
        <v>14</v>
      </c>
      <c r="C143" t="s">
        <v>15</v>
      </c>
      <c r="D143" t="s">
        <v>16</v>
      </c>
      <c r="E143" t="s">
        <v>17</v>
      </c>
      <c r="N143" s="1"/>
      <c r="Q143" s="1"/>
    </row>
    <row r="144" spans="1:17" x14ac:dyDescent="0.2">
      <c r="A144" t="s">
        <v>42</v>
      </c>
      <c r="B144">
        <v>6</v>
      </c>
      <c r="C144" t="s">
        <v>22</v>
      </c>
      <c r="D144" t="s">
        <v>23</v>
      </c>
      <c r="E144">
        <v>331.94948697090098</v>
      </c>
      <c r="F144">
        <v>113</v>
      </c>
      <c r="N144" s="1"/>
      <c r="Q144" s="1"/>
    </row>
    <row r="145" spans="1:17" x14ac:dyDescent="0.2">
      <c r="A145" t="s">
        <v>0</v>
      </c>
      <c r="B145" t="s">
        <v>14</v>
      </c>
      <c r="C145" t="s">
        <v>15</v>
      </c>
      <c r="D145" t="s">
        <v>16</v>
      </c>
      <c r="E145" t="s">
        <v>17</v>
      </c>
      <c r="F145" t="s">
        <v>18</v>
      </c>
      <c r="G145" t="s">
        <v>19</v>
      </c>
      <c r="N145" s="1"/>
      <c r="Q145" s="1"/>
    </row>
    <row r="146" spans="1:17" x14ac:dyDescent="0.2">
      <c r="A146" t="s">
        <v>42</v>
      </c>
      <c r="B146">
        <v>8</v>
      </c>
      <c r="C146" t="s">
        <v>21</v>
      </c>
      <c r="D146" t="s">
        <v>1</v>
      </c>
      <c r="E146">
        <v>11.7439999580383</v>
      </c>
      <c r="F146">
        <v>7725</v>
      </c>
      <c r="G146">
        <v>1034</v>
      </c>
      <c r="N146" s="1"/>
      <c r="Q146" s="1"/>
    </row>
    <row r="147" spans="1:17" x14ac:dyDescent="0.2">
      <c r="A147" t="s">
        <v>0</v>
      </c>
      <c r="B147" t="s">
        <v>14</v>
      </c>
      <c r="C147" t="s">
        <v>15</v>
      </c>
      <c r="D147" t="s">
        <v>16</v>
      </c>
      <c r="E147" t="s">
        <v>17</v>
      </c>
      <c r="N147" s="1"/>
      <c r="Q147" s="1"/>
    </row>
    <row r="148" spans="1:17" x14ac:dyDescent="0.2">
      <c r="A148" t="s">
        <v>42</v>
      </c>
      <c r="B148">
        <v>8</v>
      </c>
      <c r="C148" t="s">
        <v>22</v>
      </c>
      <c r="D148" t="s">
        <v>23</v>
      </c>
      <c r="E148">
        <v>523.24389410018898</v>
      </c>
      <c r="F148">
        <v>185</v>
      </c>
      <c r="N148" s="1"/>
      <c r="Q148" s="1"/>
    </row>
    <row r="149" spans="1:17" x14ac:dyDescent="0.2">
      <c r="A149" t="s">
        <v>0</v>
      </c>
      <c r="B149" t="s">
        <v>14</v>
      </c>
      <c r="C149" t="s">
        <v>15</v>
      </c>
      <c r="D149" t="s">
        <v>16</v>
      </c>
      <c r="E149" t="s">
        <v>17</v>
      </c>
      <c r="F149" t="s">
        <v>18</v>
      </c>
      <c r="G149" t="s">
        <v>19</v>
      </c>
      <c r="N149" s="1"/>
      <c r="Q149" s="1"/>
    </row>
    <row r="150" spans="1:17" x14ac:dyDescent="0.2">
      <c r="A150" t="s">
        <v>42</v>
      </c>
      <c r="B150">
        <v>10</v>
      </c>
      <c r="C150" t="s">
        <v>21</v>
      </c>
      <c r="D150" t="s">
        <v>1</v>
      </c>
      <c r="E150">
        <v>23.6549649238586</v>
      </c>
      <c r="F150">
        <v>18547</v>
      </c>
      <c r="G150">
        <v>1174</v>
      </c>
      <c r="N150" s="1"/>
      <c r="Q150" s="1"/>
    </row>
    <row r="151" spans="1:17" x14ac:dyDescent="0.2">
      <c r="A151" t="s">
        <v>0</v>
      </c>
      <c r="B151" t="s">
        <v>14</v>
      </c>
      <c r="C151" t="s">
        <v>15</v>
      </c>
      <c r="D151" t="s">
        <v>16</v>
      </c>
      <c r="E151" t="s">
        <v>17</v>
      </c>
      <c r="N151" s="1"/>
      <c r="Q151" s="1"/>
    </row>
    <row r="152" spans="1:17" x14ac:dyDescent="0.2">
      <c r="A152" t="s">
        <v>42</v>
      </c>
      <c r="B152">
        <v>10</v>
      </c>
      <c r="C152" t="s">
        <v>22</v>
      </c>
      <c r="D152" t="s">
        <v>23</v>
      </c>
      <c r="E152">
        <v>368.29995489120398</v>
      </c>
      <c r="F152">
        <v>130</v>
      </c>
      <c r="N152" s="1"/>
      <c r="Q152" s="1"/>
    </row>
    <row r="153" spans="1:17" x14ac:dyDescent="0.2">
      <c r="A153" t="s">
        <v>0</v>
      </c>
      <c r="B153" t="s">
        <v>14</v>
      </c>
      <c r="C153" t="s">
        <v>15</v>
      </c>
      <c r="D153" t="s">
        <v>16</v>
      </c>
      <c r="E153" t="s">
        <v>17</v>
      </c>
      <c r="F153" t="s">
        <v>18</v>
      </c>
      <c r="G153" t="s">
        <v>19</v>
      </c>
      <c r="N153" s="1"/>
      <c r="Q153" s="1"/>
    </row>
    <row r="154" spans="1:17" x14ac:dyDescent="0.2">
      <c r="A154" t="s">
        <v>42</v>
      </c>
      <c r="B154">
        <v>12</v>
      </c>
      <c r="C154" t="s">
        <v>21</v>
      </c>
      <c r="D154" t="s">
        <v>1</v>
      </c>
      <c r="E154">
        <v>7.0217587947845397</v>
      </c>
      <c r="F154">
        <v>8034</v>
      </c>
      <c r="G154">
        <v>331</v>
      </c>
      <c r="N154" s="1"/>
      <c r="Q154" s="1"/>
    </row>
    <row r="155" spans="1:17" x14ac:dyDescent="0.2">
      <c r="A155" t="s">
        <v>0</v>
      </c>
      <c r="B155" t="s">
        <v>14</v>
      </c>
      <c r="C155" t="s">
        <v>15</v>
      </c>
      <c r="D155" t="s">
        <v>16</v>
      </c>
      <c r="E155" t="s">
        <v>17</v>
      </c>
      <c r="N155" s="1"/>
      <c r="Q155" s="1"/>
    </row>
    <row r="156" spans="1:17" x14ac:dyDescent="0.2">
      <c r="A156" t="s">
        <v>42</v>
      </c>
      <c r="B156">
        <v>12</v>
      </c>
      <c r="C156" t="s">
        <v>22</v>
      </c>
      <c r="D156" t="s">
        <v>23</v>
      </c>
      <c r="E156">
        <v>234.68968892097399</v>
      </c>
      <c r="F156">
        <v>89</v>
      </c>
      <c r="N156" s="1"/>
      <c r="Q156" s="1"/>
    </row>
    <row r="157" spans="1:17" x14ac:dyDescent="0.2">
      <c r="A157" t="s">
        <v>0</v>
      </c>
      <c r="B157" t="s">
        <v>14</v>
      </c>
      <c r="C157" t="s">
        <v>15</v>
      </c>
      <c r="D157" t="s">
        <v>16</v>
      </c>
      <c r="E157" t="s">
        <v>17</v>
      </c>
      <c r="F157" t="s">
        <v>18</v>
      </c>
      <c r="G157" t="s">
        <v>19</v>
      </c>
      <c r="N157" s="1"/>
      <c r="Q157" s="1"/>
    </row>
    <row r="158" spans="1:17" x14ac:dyDescent="0.2">
      <c r="A158" t="s">
        <v>42</v>
      </c>
      <c r="B158">
        <v>300</v>
      </c>
      <c r="C158" t="s">
        <v>21</v>
      </c>
      <c r="D158" t="s">
        <v>1</v>
      </c>
      <c r="E158">
        <v>8.8834378719329798</v>
      </c>
      <c r="F158">
        <v>9420</v>
      </c>
      <c r="G158">
        <v>333</v>
      </c>
      <c r="N158" s="1"/>
      <c r="Q158" s="1"/>
    </row>
    <row r="159" spans="1:17" x14ac:dyDescent="0.2">
      <c r="A159" t="s">
        <v>0</v>
      </c>
      <c r="B159" t="s">
        <v>14</v>
      </c>
      <c r="C159" t="s">
        <v>15</v>
      </c>
      <c r="D159" t="s">
        <v>16</v>
      </c>
      <c r="E159" t="s">
        <v>17</v>
      </c>
      <c r="N159" s="1"/>
      <c r="Q159" s="1"/>
    </row>
    <row r="160" spans="1:17" x14ac:dyDescent="0.2">
      <c r="A160" t="s">
        <v>42</v>
      </c>
      <c r="B160">
        <v>300</v>
      </c>
      <c r="C160" t="s">
        <v>22</v>
      </c>
      <c r="D160" t="s">
        <v>23</v>
      </c>
      <c r="E160">
        <v>600.01943612098603</v>
      </c>
      <c r="F160">
        <v>220</v>
      </c>
      <c r="N160" s="1"/>
      <c r="Q160" s="1"/>
    </row>
    <row r="161" spans="1:17" x14ac:dyDescent="0.2">
      <c r="A161" t="s">
        <v>0</v>
      </c>
      <c r="B161" t="s">
        <v>14</v>
      </c>
      <c r="C161" t="s">
        <v>15</v>
      </c>
      <c r="D161" t="s">
        <v>16</v>
      </c>
      <c r="E161" t="s">
        <v>17</v>
      </c>
      <c r="F161" t="s">
        <v>18</v>
      </c>
      <c r="G161" t="s">
        <v>19</v>
      </c>
      <c r="N161" s="1"/>
      <c r="Q161" s="1"/>
    </row>
    <row r="162" spans="1:17" x14ac:dyDescent="0.2">
      <c r="A162" t="s">
        <v>43</v>
      </c>
      <c r="B162">
        <v>6</v>
      </c>
      <c r="C162" t="s">
        <v>21</v>
      </c>
      <c r="D162" t="s">
        <v>1</v>
      </c>
      <c r="E162">
        <v>12.255126953125</v>
      </c>
      <c r="F162">
        <v>13405</v>
      </c>
      <c r="G162">
        <v>1033</v>
      </c>
      <c r="N162" s="1"/>
      <c r="Q162" s="1"/>
    </row>
    <row r="163" spans="1:17" x14ac:dyDescent="0.2">
      <c r="A163" t="s">
        <v>0</v>
      </c>
      <c r="B163" t="s">
        <v>14</v>
      </c>
      <c r="C163" t="s">
        <v>15</v>
      </c>
      <c r="D163" t="s">
        <v>16</v>
      </c>
      <c r="E163" t="s">
        <v>17</v>
      </c>
      <c r="N163" s="1"/>
      <c r="Q163" s="1"/>
    </row>
    <row r="164" spans="1:17" x14ac:dyDescent="0.2">
      <c r="A164" t="s">
        <v>43</v>
      </c>
      <c r="B164">
        <v>6</v>
      </c>
      <c r="C164" t="s">
        <v>22</v>
      </c>
      <c r="D164" t="s">
        <v>23</v>
      </c>
      <c r="E164">
        <v>538.48816990852299</v>
      </c>
      <c r="F164">
        <v>195</v>
      </c>
      <c r="N164" s="1"/>
      <c r="Q164" s="1"/>
    </row>
    <row r="165" spans="1:17" x14ac:dyDescent="0.2">
      <c r="A165" t="s">
        <v>0</v>
      </c>
      <c r="B165" t="s">
        <v>14</v>
      </c>
      <c r="C165" t="s">
        <v>15</v>
      </c>
      <c r="D165" t="s">
        <v>16</v>
      </c>
      <c r="E165" t="s">
        <v>17</v>
      </c>
      <c r="F165" t="s">
        <v>18</v>
      </c>
      <c r="G165" t="s">
        <v>19</v>
      </c>
      <c r="N165" s="1"/>
      <c r="Q165" s="1"/>
    </row>
    <row r="166" spans="1:17" x14ac:dyDescent="0.2">
      <c r="A166" t="s">
        <v>43</v>
      </c>
      <c r="B166">
        <v>8</v>
      </c>
      <c r="C166" t="s">
        <v>21</v>
      </c>
      <c r="D166" t="s">
        <v>1</v>
      </c>
      <c r="E166">
        <v>97.899055004119802</v>
      </c>
      <c r="F166">
        <v>31664</v>
      </c>
      <c r="G166">
        <v>2356</v>
      </c>
      <c r="N166" s="1"/>
      <c r="Q166" s="1"/>
    </row>
    <row r="167" spans="1:17" x14ac:dyDescent="0.2">
      <c r="A167" t="s">
        <v>0</v>
      </c>
      <c r="B167" t="s">
        <v>14</v>
      </c>
      <c r="C167" t="s">
        <v>15</v>
      </c>
      <c r="D167" t="s">
        <v>16</v>
      </c>
      <c r="E167" t="s">
        <v>17</v>
      </c>
      <c r="N167" s="1"/>
      <c r="Q167" s="1"/>
    </row>
    <row r="168" spans="1:17" x14ac:dyDescent="0.2">
      <c r="A168" t="s">
        <v>43</v>
      </c>
      <c r="B168">
        <v>8</v>
      </c>
      <c r="C168" t="s">
        <v>22</v>
      </c>
      <c r="D168" t="s">
        <v>23</v>
      </c>
      <c r="E168">
        <v>600.00654816627502</v>
      </c>
      <c r="F168">
        <v>207</v>
      </c>
      <c r="N168" s="1"/>
      <c r="Q168" s="1"/>
    </row>
    <row r="169" spans="1:17" x14ac:dyDescent="0.2">
      <c r="A169" t="s">
        <v>0</v>
      </c>
      <c r="B169" t="s">
        <v>14</v>
      </c>
      <c r="C169" t="s">
        <v>15</v>
      </c>
      <c r="D169" t="s">
        <v>16</v>
      </c>
      <c r="E169" t="s">
        <v>17</v>
      </c>
      <c r="F169" t="s">
        <v>18</v>
      </c>
      <c r="G169" t="s">
        <v>19</v>
      </c>
      <c r="N169" s="1"/>
      <c r="Q169" s="1"/>
    </row>
    <row r="170" spans="1:17" x14ac:dyDescent="0.2">
      <c r="A170" t="s">
        <v>43</v>
      </c>
      <c r="B170">
        <v>10</v>
      </c>
      <c r="C170" t="s">
        <v>21</v>
      </c>
      <c r="D170" t="s">
        <v>1</v>
      </c>
      <c r="E170">
        <v>215.236496925354</v>
      </c>
      <c r="F170">
        <v>97799</v>
      </c>
      <c r="G170">
        <v>2741</v>
      </c>
      <c r="N170" s="1"/>
      <c r="Q170" s="1"/>
    </row>
    <row r="171" spans="1:17" x14ac:dyDescent="0.2">
      <c r="A171" t="s">
        <v>0</v>
      </c>
      <c r="B171" t="s">
        <v>14</v>
      </c>
      <c r="C171" t="s">
        <v>15</v>
      </c>
      <c r="D171" t="s">
        <v>16</v>
      </c>
      <c r="E171" t="s">
        <v>17</v>
      </c>
      <c r="N171" s="1"/>
      <c r="Q171" s="1"/>
    </row>
    <row r="172" spans="1:17" x14ac:dyDescent="0.2">
      <c r="A172" t="s">
        <v>43</v>
      </c>
      <c r="B172">
        <v>10</v>
      </c>
      <c r="C172" t="s">
        <v>22</v>
      </c>
      <c r="D172" t="s">
        <v>23</v>
      </c>
      <c r="E172">
        <v>600.00533008575405</v>
      </c>
      <c r="F172">
        <v>201</v>
      </c>
      <c r="N172" s="1"/>
      <c r="Q172" s="1"/>
    </row>
    <row r="173" spans="1:17" x14ac:dyDescent="0.2">
      <c r="A173" t="s">
        <v>0</v>
      </c>
      <c r="B173" t="s">
        <v>14</v>
      </c>
      <c r="C173" t="s">
        <v>15</v>
      </c>
      <c r="D173" t="s">
        <v>16</v>
      </c>
      <c r="E173" t="s">
        <v>17</v>
      </c>
      <c r="F173" t="s">
        <v>18</v>
      </c>
      <c r="G173" t="s">
        <v>19</v>
      </c>
      <c r="N173" s="1"/>
      <c r="Q173" s="1"/>
    </row>
    <row r="174" spans="1:17" x14ac:dyDescent="0.2">
      <c r="A174" t="s">
        <v>43</v>
      </c>
      <c r="B174">
        <v>12</v>
      </c>
      <c r="C174" t="s">
        <v>21</v>
      </c>
      <c r="D174" t="s">
        <v>1</v>
      </c>
      <c r="E174">
        <v>11.0782380104064</v>
      </c>
      <c r="F174">
        <v>11753</v>
      </c>
      <c r="G174">
        <v>268</v>
      </c>
      <c r="N174" s="1"/>
      <c r="Q174" s="1"/>
    </row>
    <row r="175" spans="1:17" x14ac:dyDescent="0.2">
      <c r="A175" t="s">
        <v>0</v>
      </c>
      <c r="B175" t="s">
        <v>14</v>
      </c>
      <c r="C175" t="s">
        <v>15</v>
      </c>
      <c r="D175" t="s">
        <v>16</v>
      </c>
      <c r="E175" t="s">
        <v>17</v>
      </c>
      <c r="N175" s="1"/>
      <c r="Q175" s="1"/>
    </row>
    <row r="176" spans="1:17" x14ac:dyDescent="0.2">
      <c r="A176" t="s">
        <v>43</v>
      </c>
      <c r="B176">
        <v>12</v>
      </c>
      <c r="C176" t="s">
        <v>22</v>
      </c>
      <c r="D176" t="s">
        <v>23</v>
      </c>
      <c r="E176">
        <v>600.00493192672695</v>
      </c>
      <c r="F176">
        <v>269</v>
      </c>
      <c r="N176" s="1"/>
      <c r="Q176" s="1"/>
    </row>
    <row r="177" spans="1:17" x14ac:dyDescent="0.2">
      <c r="A177" t="s">
        <v>0</v>
      </c>
      <c r="B177" t="s">
        <v>14</v>
      </c>
      <c r="C177" t="s">
        <v>15</v>
      </c>
      <c r="D177" t="s">
        <v>16</v>
      </c>
      <c r="E177" t="s">
        <v>17</v>
      </c>
      <c r="F177" t="s">
        <v>18</v>
      </c>
      <c r="G177" t="s">
        <v>19</v>
      </c>
      <c r="N177" s="1"/>
      <c r="Q177" s="1"/>
    </row>
    <row r="178" spans="1:17" x14ac:dyDescent="0.2">
      <c r="A178" t="s">
        <v>43</v>
      </c>
      <c r="B178">
        <v>300</v>
      </c>
      <c r="C178" t="s">
        <v>21</v>
      </c>
      <c r="D178" t="s">
        <v>1</v>
      </c>
      <c r="E178">
        <v>24.514941930770799</v>
      </c>
      <c r="F178">
        <v>25400</v>
      </c>
      <c r="G178">
        <v>284</v>
      </c>
      <c r="N178" s="1"/>
      <c r="Q178" s="1"/>
    </row>
    <row r="179" spans="1:17" x14ac:dyDescent="0.2">
      <c r="A179" t="s">
        <v>0</v>
      </c>
      <c r="B179" t="s">
        <v>14</v>
      </c>
      <c r="C179" t="s">
        <v>15</v>
      </c>
      <c r="D179" t="s">
        <v>16</v>
      </c>
      <c r="E179" t="s">
        <v>17</v>
      </c>
      <c r="N179" s="1"/>
      <c r="Q179" s="1"/>
    </row>
    <row r="180" spans="1:17" x14ac:dyDescent="0.2">
      <c r="A180" t="s">
        <v>43</v>
      </c>
      <c r="B180">
        <v>300</v>
      </c>
      <c r="C180" t="s">
        <v>22</v>
      </c>
      <c r="D180" t="s">
        <v>23</v>
      </c>
      <c r="E180">
        <v>600.00748896598805</v>
      </c>
      <c r="F180">
        <v>240</v>
      </c>
      <c r="N180" s="1"/>
      <c r="Q180" s="1"/>
    </row>
    <row r="181" spans="1:17" x14ac:dyDescent="0.2">
      <c r="A181" t="s">
        <v>0</v>
      </c>
      <c r="B181" t="s">
        <v>14</v>
      </c>
      <c r="C181" t="s">
        <v>15</v>
      </c>
      <c r="D181" t="s">
        <v>16</v>
      </c>
      <c r="E181" t="s">
        <v>17</v>
      </c>
      <c r="F181" t="s">
        <v>18</v>
      </c>
      <c r="G181" t="s">
        <v>19</v>
      </c>
      <c r="N181" s="1"/>
      <c r="Q181" s="1"/>
    </row>
    <row r="182" spans="1:17" x14ac:dyDescent="0.2">
      <c r="A182" t="s">
        <v>57</v>
      </c>
      <c r="B182">
        <v>6</v>
      </c>
      <c r="C182" t="s">
        <v>21</v>
      </c>
      <c r="D182" t="s">
        <v>1</v>
      </c>
      <c r="E182">
        <v>5.12564897537231</v>
      </c>
      <c r="F182">
        <v>3884</v>
      </c>
      <c r="G182">
        <v>583</v>
      </c>
      <c r="N182" s="1"/>
      <c r="Q182" s="1"/>
    </row>
    <row r="183" spans="1:17" x14ac:dyDescent="0.2">
      <c r="A183" t="s">
        <v>0</v>
      </c>
      <c r="B183" t="s">
        <v>14</v>
      </c>
      <c r="C183" t="s">
        <v>15</v>
      </c>
      <c r="D183" t="s">
        <v>16</v>
      </c>
      <c r="E183" t="s">
        <v>17</v>
      </c>
      <c r="N183" s="1"/>
      <c r="Q183" s="1"/>
    </row>
    <row r="184" spans="1:17" x14ac:dyDescent="0.2">
      <c r="A184" t="s">
        <v>57</v>
      </c>
      <c r="B184">
        <v>6</v>
      </c>
      <c r="C184" t="s">
        <v>22</v>
      </c>
      <c r="D184" t="s">
        <v>23</v>
      </c>
      <c r="E184">
        <v>262.498376131057</v>
      </c>
      <c r="F184">
        <v>93</v>
      </c>
      <c r="N184" s="1"/>
      <c r="Q184" s="1"/>
    </row>
    <row r="185" spans="1:17" x14ac:dyDescent="0.2">
      <c r="A185" t="s">
        <v>0</v>
      </c>
      <c r="B185" t="s">
        <v>14</v>
      </c>
      <c r="C185" t="s">
        <v>15</v>
      </c>
      <c r="D185" t="s">
        <v>16</v>
      </c>
      <c r="E185" t="s">
        <v>17</v>
      </c>
      <c r="F185" t="s">
        <v>18</v>
      </c>
      <c r="G185" t="s">
        <v>19</v>
      </c>
      <c r="N185" s="1"/>
      <c r="Q185" s="1"/>
    </row>
    <row r="186" spans="1:17" x14ac:dyDescent="0.2">
      <c r="A186" t="s">
        <v>57</v>
      </c>
      <c r="B186">
        <v>8</v>
      </c>
      <c r="C186" t="s">
        <v>21</v>
      </c>
      <c r="D186" t="s">
        <v>1</v>
      </c>
      <c r="E186">
        <v>9.5358989238738996</v>
      </c>
      <c r="F186">
        <v>6685</v>
      </c>
      <c r="G186">
        <v>803</v>
      </c>
      <c r="N186" s="1"/>
      <c r="Q186" s="1"/>
    </row>
    <row r="187" spans="1:17" x14ac:dyDescent="0.2">
      <c r="A187" t="s">
        <v>0</v>
      </c>
      <c r="B187" t="s">
        <v>14</v>
      </c>
      <c r="C187" t="s">
        <v>15</v>
      </c>
      <c r="D187" t="s">
        <v>16</v>
      </c>
      <c r="E187" t="s">
        <v>17</v>
      </c>
      <c r="N187" s="1"/>
      <c r="Q187" s="1"/>
    </row>
    <row r="188" spans="1:17" x14ac:dyDescent="0.2">
      <c r="A188" t="s">
        <v>57</v>
      </c>
      <c r="B188">
        <v>8</v>
      </c>
      <c r="C188" t="s">
        <v>22</v>
      </c>
      <c r="D188" t="s">
        <v>23</v>
      </c>
      <c r="E188">
        <v>289.01432704925497</v>
      </c>
      <c r="F188">
        <v>107</v>
      </c>
      <c r="N188" s="1"/>
      <c r="Q188" s="1"/>
    </row>
    <row r="189" spans="1:17" x14ac:dyDescent="0.2">
      <c r="A189" t="s">
        <v>0</v>
      </c>
      <c r="B189" t="s">
        <v>14</v>
      </c>
      <c r="C189" t="s">
        <v>15</v>
      </c>
      <c r="D189" t="s">
        <v>16</v>
      </c>
      <c r="E189" t="s">
        <v>17</v>
      </c>
      <c r="F189" t="s">
        <v>18</v>
      </c>
      <c r="G189" t="s">
        <v>19</v>
      </c>
      <c r="N189" s="1"/>
      <c r="Q189" s="1"/>
    </row>
    <row r="190" spans="1:17" x14ac:dyDescent="0.2">
      <c r="A190" t="s">
        <v>57</v>
      </c>
      <c r="B190">
        <v>10</v>
      </c>
      <c r="C190" t="s">
        <v>21</v>
      </c>
      <c r="D190" t="s">
        <v>1</v>
      </c>
      <c r="E190">
        <v>6.0245261192321697</v>
      </c>
      <c r="F190">
        <v>3417</v>
      </c>
      <c r="G190">
        <v>486</v>
      </c>
      <c r="N190" s="1"/>
      <c r="Q190" s="1"/>
    </row>
    <row r="191" spans="1:17" x14ac:dyDescent="0.2">
      <c r="A191" t="s">
        <v>0</v>
      </c>
      <c r="B191" t="s">
        <v>14</v>
      </c>
      <c r="C191" t="s">
        <v>15</v>
      </c>
      <c r="D191" t="s">
        <v>16</v>
      </c>
      <c r="E191" t="s">
        <v>17</v>
      </c>
      <c r="N191" s="1"/>
      <c r="Q191" s="1"/>
    </row>
    <row r="192" spans="1:17" x14ac:dyDescent="0.2">
      <c r="A192" t="s">
        <v>57</v>
      </c>
      <c r="B192">
        <v>10</v>
      </c>
      <c r="C192" t="s">
        <v>22</v>
      </c>
      <c r="D192" t="s">
        <v>23</v>
      </c>
      <c r="E192">
        <v>259.465022087097</v>
      </c>
      <c r="F192">
        <v>99</v>
      </c>
      <c r="N192" s="1"/>
      <c r="Q192" s="1"/>
    </row>
    <row r="193" spans="1:17" x14ac:dyDescent="0.2">
      <c r="A193" t="s">
        <v>0</v>
      </c>
      <c r="B193" t="s">
        <v>14</v>
      </c>
      <c r="C193" t="s">
        <v>15</v>
      </c>
      <c r="D193" t="s">
        <v>16</v>
      </c>
      <c r="E193" t="s">
        <v>17</v>
      </c>
      <c r="F193" t="s">
        <v>18</v>
      </c>
      <c r="G193" t="s">
        <v>19</v>
      </c>
      <c r="N193" s="1"/>
      <c r="Q193" s="1"/>
    </row>
    <row r="194" spans="1:17" x14ac:dyDescent="0.2">
      <c r="A194" t="s">
        <v>57</v>
      </c>
      <c r="B194">
        <v>12</v>
      </c>
      <c r="C194" t="s">
        <v>21</v>
      </c>
      <c r="D194" t="s">
        <v>1</v>
      </c>
      <c r="E194">
        <v>13.3252291679382</v>
      </c>
      <c r="F194">
        <v>9969</v>
      </c>
      <c r="G194">
        <v>388</v>
      </c>
      <c r="N194" s="1"/>
      <c r="Q194" s="1"/>
    </row>
    <row r="195" spans="1:17" x14ac:dyDescent="0.2">
      <c r="A195" t="s">
        <v>0</v>
      </c>
      <c r="B195" t="s">
        <v>14</v>
      </c>
      <c r="C195" t="s">
        <v>15</v>
      </c>
      <c r="D195" t="s">
        <v>16</v>
      </c>
      <c r="E195" t="s">
        <v>17</v>
      </c>
      <c r="N195" s="1"/>
      <c r="Q195" s="1"/>
    </row>
    <row r="196" spans="1:17" x14ac:dyDescent="0.2">
      <c r="A196" t="s">
        <v>57</v>
      </c>
      <c r="B196">
        <v>12</v>
      </c>
      <c r="C196" t="s">
        <v>22</v>
      </c>
      <c r="D196" t="s">
        <v>23</v>
      </c>
      <c r="E196">
        <v>600.01275682449295</v>
      </c>
      <c r="F196">
        <v>195</v>
      </c>
      <c r="N196" s="1"/>
      <c r="Q196" s="1"/>
    </row>
    <row r="197" spans="1:17" x14ac:dyDescent="0.2">
      <c r="A197" t="s">
        <v>0</v>
      </c>
      <c r="B197" t="s">
        <v>14</v>
      </c>
      <c r="C197" t="s">
        <v>15</v>
      </c>
      <c r="D197" t="s">
        <v>16</v>
      </c>
      <c r="E197" t="s">
        <v>17</v>
      </c>
      <c r="F197" t="s">
        <v>18</v>
      </c>
      <c r="G197" t="s">
        <v>19</v>
      </c>
      <c r="N197" s="1"/>
      <c r="Q197" s="1"/>
    </row>
    <row r="198" spans="1:17" x14ac:dyDescent="0.2">
      <c r="A198" t="s">
        <v>57</v>
      </c>
      <c r="B198">
        <v>300</v>
      </c>
      <c r="C198" t="s">
        <v>21</v>
      </c>
      <c r="D198" t="s">
        <v>1</v>
      </c>
      <c r="E198">
        <v>26.772544145584099</v>
      </c>
      <c r="F198">
        <v>16426</v>
      </c>
      <c r="G198">
        <v>410</v>
      </c>
      <c r="N198" s="1"/>
      <c r="Q198" s="1"/>
    </row>
    <row r="199" spans="1:17" x14ac:dyDescent="0.2">
      <c r="A199" t="s">
        <v>0</v>
      </c>
      <c r="B199" t="s">
        <v>14</v>
      </c>
      <c r="C199" t="s">
        <v>15</v>
      </c>
      <c r="D199" t="s">
        <v>16</v>
      </c>
      <c r="E199" t="s">
        <v>17</v>
      </c>
      <c r="N199" s="1"/>
      <c r="Q199" s="1"/>
    </row>
    <row r="200" spans="1:17" x14ac:dyDescent="0.2">
      <c r="A200" t="s">
        <v>57</v>
      </c>
      <c r="B200">
        <v>300</v>
      </c>
      <c r="C200" t="s">
        <v>22</v>
      </c>
      <c r="D200" t="s">
        <v>23</v>
      </c>
      <c r="E200">
        <v>600.012307167053</v>
      </c>
      <c r="F200">
        <v>175</v>
      </c>
      <c r="N200" s="1"/>
      <c r="Q200" s="1"/>
    </row>
    <row r="201" spans="1:17" x14ac:dyDescent="0.2">
      <c r="A201" t="s">
        <v>0</v>
      </c>
      <c r="B201" t="s">
        <v>14</v>
      </c>
      <c r="C201" t="s">
        <v>15</v>
      </c>
      <c r="D201" t="s">
        <v>16</v>
      </c>
      <c r="E201" t="s">
        <v>17</v>
      </c>
      <c r="F201" t="s">
        <v>18</v>
      </c>
      <c r="G201" t="s">
        <v>19</v>
      </c>
      <c r="N201" s="1"/>
      <c r="Q201" s="1"/>
    </row>
    <row r="202" spans="1:17" x14ac:dyDescent="0.2">
      <c r="A202" t="s">
        <v>35</v>
      </c>
      <c r="B202">
        <v>6</v>
      </c>
      <c r="C202" t="s">
        <v>22</v>
      </c>
      <c r="D202" t="s">
        <v>58</v>
      </c>
      <c r="E202">
        <v>68.441443920135498</v>
      </c>
      <c r="F202">
        <v>14128</v>
      </c>
      <c r="G202">
        <v>1864</v>
      </c>
      <c r="N202" s="1"/>
      <c r="Q202" s="1"/>
    </row>
    <row r="203" spans="1:17" x14ac:dyDescent="0.2">
      <c r="A203" t="s">
        <v>0</v>
      </c>
      <c r="B203" t="s">
        <v>14</v>
      </c>
      <c r="C203" t="s">
        <v>15</v>
      </c>
      <c r="D203" t="s">
        <v>16</v>
      </c>
      <c r="E203" t="s">
        <v>17</v>
      </c>
      <c r="F203" t="s">
        <v>18</v>
      </c>
      <c r="G203" t="s">
        <v>19</v>
      </c>
      <c r="N203" s="1"/>
      <c r="Q203" s="1"/>
    </row>
    <row r="204" spans="1:17" x14ac:dyDescent="0.2">
      <c r="A204" t="s">
        <v>35</v>
      </c>
      <c r="B204">
        <v>6</v>
      </c>
      <c r="C204" t="s">
        <v>22</v>
      </c>
      <c r="D204" t="s">
        <v>59</v>
      </c>
      <c r="E204">
        <v>67.678839921951294</v>
      </c>
      <c r="F204">
        <v>10923</v>
      </c>
      <c r="G204">
        <v>1295</v>
      </c>
      <c r="N204" s="1"/>
      <c r="Q204" s="1"/>
    </row>
    <row r="205" spans="1:17" x14ac:dyDescent="0.2">
      <c r="A205" t="s">
        <v>0</v>
      </c>
      <c r="B205" t="s">
        <v>14</v>
      </c>
      <c r="C205" t="s">
        <v>15</v>
      </c>
      <c r="D205" t="s">
        <v>16</v>
      </c>
      <c r="E205" t="s">
        <v>17</v>
      </c>
      <c r="F205" t="s">
        <v>18</v>
      </c>
      <c r="G205" t="s">
        <v>19</v>
      </c>
      <c r="N205" s="1"/>
      <c r="Q205" s="1"/>
    </row>
    <row r="206" spans="1:17" x14ac:dyDescent="0.2">
      <c r="A206" t="s">
        <v>35</v>
      </c>
      <c r="B206">
        <v>8</v>
      </c>
      <c r="C206" t="s">
        <v>22</v>
      </c>
      <c r="D206" t="s">
        <v>58</v>
      </c>
      <c r="E206">
        <v>238.855963945388</v>
      </c>
      <c r="F206">
        <v>37828</v>
      </c>
      <c r="G206">
        <v>3320</v>
      </c>
      <c r="N206" s="1"/>
      <c r="Q206" s="1"/>
    </row>
    <row r="207" spans="1:17" x14ac:dyDescent="0.2">
      <c r="A207" t="s">
        <v>0</v>
      </c>
      <c r="B207" t="s">
        <v>14</v>
      </c>
      <c r="C207" t="s">
        <v>15</v>
      </c>
      <c r="D207" t="s">
        <v>16</v>
      </c>
      <c r="E207" t="s">
        <v>17</v>
      </c>
      <c r="F207" t="s">
        <v>18</v>
      </c>
      <c r="G207" t="s">
        <v>19</v>
      </c>
      <c r="N207" s="1"/>
      <c r="Q207" s="1"/>
    </row>
    <row r="208" spans="1:17" x14ac:dyDescent="0.2">
      <c r="A208" t="s">
        <v>35</v>
      </c>
      <c r="B208">
        <v>8</v>
      </c>
      <c r="C208" t="s">
        <v>22</v>
      </c>
      <c r="D208" t="s">
        <v>59</v>
      </c>
      <c r="E208">
        <v>193.792394161224</v>
      </c>
      <c r="F208">
        <v>29555</v>
      </c>
      <c r="G208">
        <v>2508</v>
      </c>
      <c r="N208" s="1"/>
      <c r="Q208" s="1"/>
    </row>
    <row r="209" spans="1:17" x14ac:dyDescent="0.2">
      <c r="A209" t="s">
        <v>0</v>
      </c>
      <c r="B209" t="s">
        <v>14</v>
      </c>
      <c r="C209" t="s">
        <v>15</v>
      </c>
      <c r="D209" t="s">
        <v>16</v>
      </c>
      <c r="E209" t="s">
        <v>17</v>
      </c>
      <c r="F209" t="s">
        <v>18</v>
      </c>
      <c r="G209" t="s">
        <v>19</v>
      </c>
      <c r="N209" s="1"/>
      <c r="Q209" s="1"/>
    </row>
    <row r="210" spans="1:17" x14ac:dyDescent="0.2">
      <c r="A210" t="s">
        <v>35</v>
      </c>
      <c r="B210">
        <v>10</v>
      </c>
      <c r="C210" t="s">
        <v>22</v>
      </c>
      <c r="D210" t="s">
        <v>58</v>
      </c>
      <c r="E210">
        <v>94.631411075591998</v>
      </c>
      <c r="F210">
        <v>46351</v>
      </c>
      <c r="G210">
        <v>2053</v>
      </c>
      <c r="N210" s="1"/>
      <c r="Q210" s="1"/>
    </row>
    <row r="211" spans="1:17" x14ac:dyDescent="0.2">
      <c r="A211" t="s">
        <v>0</v>
      </c>
      <c r="B211" t="s">
        <v>14</v>
      </c>
      <c r="C211" t="s">
        <v>15</v>
      </c>
      <c r="D211" t="s">
        <v>16</v>
      </c>
      <c r="E211" t="s">
        <v>17</v>
      </c>
      <c r="F211" t="s">
        <v>18</v>
      </c>
      <c r="G211" t="s">
        <v>19</v>
      </c>
      <c r="N211" s="1"/>
      <c r="Q211" s="1"/>
    </row>
    <row r="212" spans="1:17" x14ac:dyDescent="0.2">
      <c r="A212" t="s">
        <v>35</v>
      </c>
      <c r="B212">
        <v>10</v>
      </c>
      <c r="C212" t="s">
        <v>22</v>
      </c>
      <c r="D212" t="s">
        <v>59</v>
      </c>
      <c r="E212">
        <v>59.744424104690502</v>
      </c>
      <c r="F212">
        <v>23273</v>
      </c>
      <c r="G212">
        <v>1243</v>
      </c>
      <c r="N212" s="1"/>
      <c r="Q212" s="1"/>
    </row>
    <row r="213" spans="1:17" x14ac:dyDescent="0.2">
      <c r="A213" t="s">
        <v>0</v>
      </c>
      <c r="B213" t="s">
        <v>14</v>
      </c>
      <c r="C213" t="s">
        <v>15</v>
      </c>
      <c r="D213" t="s">
        <v>16</v>
      </c>
      <c r="E213" t="s">
        <v>17</v>
      </c>
      <c r="F213" t="s">
        <v>18</v>
      </c>
      <c r="G213" t="s">
        <v>19</v>
      </c>
      <c r="N213" s="1"/>
      <c r="Q213" s="1"/>
    </row>
    <row r="214" spans="1:17" x14ac:dyDescent="0.2">
      <c r="A214" t="s">
        <v>35</v>
      </c>
      <c r="B214">
        <v>12</v>
      </c>
      <c r="C214" t="s">
        <v>22</v>
      </c>
      <c r="D214" t="s">
        <v>58</v>
      </c>
      <c r="E214">
        <v>8.2292509078979492</v>
      </c>
      <c r="F214">
        <v>5390</v>
      </c>
      <c r="G214">
        <v>219</v>
      </c>
      <c r="N214" s="1"/>
      <c r="Q214" s="1"/>
    </row>
    <row r="215" spans="1:17" x14ac:dyDescent="0.2">
      <c r="A215" t="s">
        <v>0</v>
      </c>
      <c r="B215" t="s">
        <v>14</v>
      </c>
      <c r="C215" t="s">
        <v>15</v>
      </c>
      <c r="D215" t="s">
        <v>16</v>
      </c>
      <c r="E215" t="s">
        <v>17</v>
      </c>
      <c r="F215" t="s">
        <v>18</v>
      </c>
      <c r="G215" t="s">
        <v>19</v>
      </c>
      <c r="N215" s="1"/>
      <c r="Q215" s="1"/>
    </row>
    <row r="216" spans="1:17" x14ac:dyDescent="0.2">
      <c r="A216" t="s">
        <v>35</v>
      </c>
      <c r="B216">
        <v>12</v>
      </c>
      <c r="C216" t="s">
        <v>22</v>
      </c>
      <c r="D216" t="s">
        <v>59</v>
      </c>
      <c r="E216">
        <v>16.300558090209901</v>
      </c>
      <c r="F216">
        <v>1567</v>
      </c>
      <c r="G216">
        <v>73</v>
      </c>
      <c r="N216" s="1"/>
      <c r="Q216" s="1"/>
    </row>
    <row r="217" spans="1:17" x14ac:dyDescent="0.2">
      <c r="A217" t="s">
        <v>0</v>
      </c>
      <c r="B217" t="s">
        <v>14</v>
      </c>
      <c r="C217" t="s">
        <v>15</v>
      </c>
      <c r="D217" t="s">
        <v>16</v>
      </c>
      <c r="E217" t="s">
        <v>17</v>
      </c>
      <c r="F217" t="s">
        <v>18</v>
      </c>
      <c r="G217" t="s">
        <v>19</v>
      </c>
      <c r="N217" s="1"/>
      <c r="Q217" s="1"/>
    </row>
    <row r="218" spans="1:17" x14ac:dyDescent="0.2">
      <c r="A218" t="s">
        <v>35</v>
      </c>
      <c r="B218">
        <v>300</v>
      </c>
      <c r="C218" t="s">
        <v>22</v>
      </c>
      <c r="D218" t="s">
        <v>58</v>
      </c>
      <c r="E218">
        <v>26.444476127624501</v>
      </c>
      <c r="F218">
        <v>15487</v>
      </c>
      <c r="G218">
        <v>419</v>
      </c>
      <c r="N218" s="1"/>
      <c r="Q218" s="1"/>
    </row>
    <row r="219" spans="1:17" x14ac:dyDescent="0.2">
      <c r="A219" t="s">
        <v>0</v>
      </c>
      <c r="B219" t="s">
        <v>14</v>
      </c>
      <c r="C219" t="s">
        <v>15</v>
      </c>
      <c r="D219" t="s">
        <v>16</v>
      </c>
      <c r="E219" t="s">
        <v>17</v>
      </c>
      <c r="F219" t="s">
        <v>18</v>
      </c>
      <c r="G219" t="s">
        <v>19</v>
      </c>
      <c r="N219" s="1"/>
      <c r="Q219" s="1"/>
    </row>
    <row r="220" spans="1:17" x14ac:dyDescent="0.2">
      <c r="A220" t="s">
        <v>35</v>
      </c>
      <c r="B220">
        <v>300</v>
      </c>
      <c r="C220" t="s">
        <v>22</v>
      </c>
      <c r="D220" t="s">
        <v>59</v>
      </c>
      <c r="E220">
        <v>44.406011104583698</v>
      </c>
      <c r="F220">
        <v>15064</v>
      </c>
      <c r="G220">
        <v>418</v>
      </c>
      <c r="N220" s="1"/>
      <c r="Q220" s="1"/>
    </row>
    <row r="221" spans="1:17" x14ac:dyDescent="0.2">
      <c r="A221" t="s">
        <v>0</v>
      </c>
      <c r="B221" t="s">
        <v>14</v>
      </c>
      <c r="C221" t="s">
        <v>15</v>
      </c>
      <c r="D221" t="s">
        <v>16</v>
      </c>
      <c r="E221" t="s">
        <v>17</v>
      </c>
      <c r="F221" t="s">
        <v>18</v>
      </c>
      <c r="G221" t="s">
        <v>19</v>
      </c>
      <c r="N221" s="1"/>
      <c r="Q221" s="1"/>
    </row>
    <row r="222" spans="1:17" x14ac:dyDescent="0.2">
      <c r="A222" t="s">
        <v>36</v>
      </c>
      <c r="B222">
        <v>6</v>
      </c>
      <c r="C222" t="s">
        <v>22</v>
      </c>
      <c r="D222" t="s">
        <v>58</v>
      </c>
      <c r="E222">
        <v>22.342773914337101</v>
      </c>
      <c r="F222">
        <v>6805</v>
      </c>
      <c r="G222">
        <v>819</v>
      </c>
      <c r="N222" s="1"/>
      <c r="Q222" s="1"/>
    </row>
    <row r="223" spans="1:17" x14ac:dyDescent="0.2">
      <c r="A223" t="s">
        <v>0</v>
      </c>
      <c r="B223" t="s">
        <v>14</v>
      </c>
      <c r="C223" t="s">
        <v>15</v>
      </c>
      <c r="D223" t="s">
        <v>16</v>
      </c>
      <c r="E223" t="s">
        <v>17</v>
      </c>
      <c r="F223" t="s">
        <v>18</v>
      </c>
      <c r="G223" t="s">
        <v>19</v>
      </c>
      <c r="N223" s="1"/>
      <c r="Q223" s="1"/>
    </row>
    <row r="224" spans="1:17" x14ac:dyDescent="0.2">
      <c r="A224" t="s">
        <v>36</v>
      </c>
      <c r="B224">
        <v>6</v>
      </c>
      <c r="C224" t="s">
        <v>22</v>
      </c>
      <c r="D224" t="s">
        <v>59</v>
      </c>
      <c r="E224">
        <v>28.029417991638098</v>
      </c>
      <c r="F224">
        <v>4563</v>
      </c>
      <c r="G224">
        <v>496</v>
      </c>
      <c r="N224" s="1"/>
      <c r="Q224" s="1"/>
    </row>
    <row r="225" spans="1:17" x14ac:dyDescent="0.2">
      <c r="A225" t="s">
        <v>0</v>
      </c>
      <c r="B225" t="s">
        <v>14</v>
      </c>
      <c r="C225" t="s">
        <v>15</v>
      </c>
      <c r="D225" t="s">
        <v>16</v>
      </c>
      <c r="E225" t="s">
        <v>17</v>
      </c>
      <c r="F225" t="s">
        <v>18</v>
      </c>
      <c r="G225" t="s">
        <v>19</v>
      </c>
      <c r="N225" s="1"/>
      <c r="Q225" s="1"/>
    </row>
    <row r="226" spans="1:17" x14ac:dyDescent="0.2">
      <c r="A226" t="s">
        <v>36</v>
      </c>
      <c r="B226">
        <v>8</v>
      </c>
      <c r="C226" t="s">
        <v>22</v>
      </c>
      <c r="D226" t="s">
        <v>58</v>
      </c>
      <c r="E226">
        <v>68.530368089675903</v>
      </c>
      <c r="F226">
        <v>21473</v>
      </c>
      <c r="G226">
        <v>1753</v>
      </c>
      <c r="N226" s="1"/>
      <c r="Q226" s="1"/>
    </row>
    <row r="227" spans="1:17" x14ac:dyDescent="0.2">
      <c r="A227" t="s">
        <v>0</v>
      </c>
      <c r="B227" t="s">
        <v>14</v>
      </c>
      <c r="C227" t="s">
        <v>15</v>
      </c>
      <c r="D227" t="s">
        <v>16</v>
      </c>
      <c r="E227" t="s">
        <v>17</v>
      </c>
      <c r="F227" t="s">
        <v>18</v>
      </c>
      <c r="G227" t="s">
        <v>19</v>
      </c>
      <c r="N227" s="1"/>
      <c r="Q227" s="1"/>
    </row>
    <row r="228" spans="1:17" x14ac:dyDescent="0.2">
      <c r="A228" t="s">
        <v>36</v>
      </c>
      <c r="B228">
        <v>8</v>
      </c>
      <c r="C228" t="s">
        <v>22</v>
      </c>
      <c r="D228" t="s">
        <v>59</v>
      </c>
      <c r="E228">
        <v>66.808803081512394</v>
      </c>
      <c r="F228">
        <v>16060</v>
      </c>
      <c r="G228">
        <v>1254</v>
      </c>
      <c r="N228" s="1"/>
      <c r="Q228" s="1"/>
    </row>
    <row r="229" spans="1:17" x14ac:dyDescent="0.2">
      <c r="A229" t="s">
        <v>0</v>
      </c>
      <c r="B229" t="s">
        <v>14</v>
      </c>
      <c r="C229" t="s">
        <v>15</v>
      </c>
      <c r="D229" t="s">
        <v>16</v>
      </c>
      <c r="E229" t="s">
        <v>17</v>
      </c>
      <c r="F229" t="s">
        <v>18</v>
      </c>
      <c r="G229" t="s">
        <v>19</v>
      </c>
      <c r="N229" s="1"/>
      <c r="Q229" s="1"/>
    </row>
    <row r="230" spans="1:17" x14ac:dyDescent="0.2">
      <c r="A230" t="s">
        <v>36</v>
      </c>
      <c r="B230">
        <v>10</v>
      </c>
      <c r="C230" t="s">
        <v>22</v>
      </c>
      <c r="D230" t="s">
        <v>58</v>
      </c>
      <c r="E230">
        <v>44.763283967971802</v>
      </c>
      <c r="F230">
        <v>30231</v>
      </c>
      <c r="G230">
        <v>1237</v>
      </c>
      <c r="N230" s="1"/>
      <c r="Q230" s="1"/>
    </row>
    <row r="231" spans="1:17" x14ac:dyDescent="0.2">
      <c r="A231" t="s">
        <v>0</v>
      </c>
      <c r="B231" t="s">
        <v>14</v>
      </c>
      <c r="C231" t="s">
        <v>15</v>
      </c>
      <c r="D231" t="s">
        <v>16</v>
      </c>
      <c r="E231" t="s">
        <v>17</v>
      </c>
      <c r="F231" t="s">
        <v>18</v>
      </c>
      <c r="G231" t="s">
        <v>19</v>
      </c>
      <c r="N231" s="1"/>
      <c r="Q231" s="1"/>
    </row>
    <row r="232" spans="1:17" x14ac:dyDescent="0.2">
      <c r="A232" t="s">
        <v>36</v>
      </c>
      <c r="B232">
        <v>10</v>
      </c>
      <c r="C232" t="s">
        <v>22</v>
      </c>
      <c r="D232" t="s">
        <v>59</v>
      </c>
      <c r="E232">
        <v>439.90817308425898</v>
      </c>
      <c r="F232">
        <v>15460</v>
      </c>
      <c r="G232">
        <v>658</v>
      </c>
      <c r="N232" s="1"/>
      <c r="Q232" s="1"/>
    </row>
    <row r="233" spans="1:17" x14ac:dyDescent="0.2">
      <c r="A233" t="s">
        <v>0</v>
      </c>
      <c r="B233" t="s">
        <v>14</v>
      </c>
      <c r="C233" t="s">
        <v>15</v>
      </c>
      <c r="D233" t="s">
        <v>16</v>
      </c>
      <c r="E233" t="s">
        <v>17</v>
      </c>
      <c r="F233" t="s">
        <v>18</v>
      </c>
      <c r="G233" t="s">
        <v>19</v>
      </c>
      <c r="N233" s="1"/>
      <c r="Q233" s="1"/>
    </row>
    <row r="234" spans="1:17" x14ac:dyDescent="0.2">
      <c r="A234" t="s">
        <v>36</v>
      </c>
      <c r="B234">
        <v>12</v>
      </c>
      <c r="C234" t="s">
        <v>22</v>
      </c>
      <c r="D234" t="s">
        <v>58</v>
      </c>
      <c r="E234">
        <v>0.771919965744018</v>
      </c>
      <c r="F234">
        <v>532</v>
      </c>
      <c r="G234">
        <v>26</v>
      </c>
      <c r="N234" s="1"/>
      <c r="Q234" s="1"/>
    </row>
    <row r="235" spans="1:17" x14ac:dyDescent="0.2">
      <c r="A235" t="s">
        <v>0</v>
      </c>
      <c r="B235" t="s">
        <v>14</v>
      </c>
      <c r="C235" t="s">
        <v>15</v>
      </c>
      <c r="D235" t="s">
        <v>16</v>
      </c>
      <c r="E235" t="s">
        <v>17</v>
      </c>
      <c r="F235" t="s">
        <v>18</v>
      </c>
      <c r="G235" t="s">
        <v>19</v>
      </c>
      <c r="N235" s="1"/>
      <c r="Q235" s="1"/>
    </row>
    <row r="236" spans="1:17" x14ac:dyDescent="0.2">
      <c r="A236" t="s">
        <v>36</v>
      </c>
      <c r="B236">
        <v>12</v>
      </c>
      <c r="C236" t="s">
        <v>22</v>
      </c>
      <c r="D236" t="s">
        <v>59</v>
      </c>
      <c r="E236">
        <v>12.224796056747399</v>
      </c>
      <c r="F236">
        <v>194</v>
      </c>
      <c r="G236">
        <v>4</v>
      </c>
      <c r="N236" s="1"/>
      <c r="Q236" s="1"/>
    </row>
    <row r="237" spans="1:17" x14ac:dyDescent="0.2">
      <c r="A237" t="s">
        <v>0</v>
      </c>
      <c r="B237" t="s">
        <v>14</v>
      </c>
      <c r="C237" t="s">
        <v>15</v>
      </c>
      <c r="D237" t="s">
        <v>16</v>
      </c>
      <c r="E237" t="s">
        <v>17</v>
      </c>
      <c r="F237" t="s">
        <v>18</v>
      </c>
      <c r="G237" t="s">
        <v>19</v>
      </c>
      <c r="N237" s="1"/>
      <c r="Q237" s="1"/>
    </row>
    <row r="238" spans="1:17" x14ac:dyDescent="0.2">
      <c r="A238" t="s">
        <v>36</v>
      </c>
      <c r="B238">
        <v>300</v>
      </c>
      <c r="C238" t="s">
        <v>22</v>
      </c>
      <c r="D238" t="s">
        <v>58</v>
      </c>
      <c r="E238">
        <v>1.91475009918212</v>
      </c>
      <c r="F238">
        <v>1441</v>
      </c>
      <c r="G238">
        <v>63</v>
      </c>
      <c r="N238" s="1"/>
      <c r="Q238" s="1"/>
    </row>
    <row r="239" spans="1:17" x14ac:dyDescent="0.2">
      <c r="A239" t="s">
        <v>0</v>
      </c>
      <c r="B239" t="s">
        <v>14</v>
      </c>
      <c r="C239" t="s">
        <v>15</v>
      </c>
      <c r="D239" t="s">
        <v>16</v>
      </c>
      <c r="E239" t="s">
        <v>17</v>
      </c>
      <c r="F239" t="s">
        <v>18</v>
      </c>
      <c r="G239" t="s">
        <v>19</v>
      </c>
      <c r="N239" s="1"/>
      <c r="Q239" s="1"/>
    </row>
    <row r="240" spans="1:17" x14ac:dyDescent="0.2">
      <c r="A240" t="s">
        <v>36</v>
      </c>
      <c r="B240">
        <v>300</v>
      </c>
      <c r="C240" t="s">
        <v>22</v>
      </c>
      <c r="D240" t="s">
        <v>59</v>
      </c>
      <c r="E240">
        <v>13.286398887634199</v>
      </c>
      <c r="F240">
        <v>739</v>
      </c>
      <c r="G240">
        <v>38</v>
      </c>
      <c r="N240" s="1"/>
      <c r="Q240" s="1"/>
    </row>
    <row r="241" spans="1:17" x14ac:dyDescent="0.2">
      <c r="A241" t="s">
        <v>0</v>
      </c>
      <c r="B241" t="s">
        <v>14</v>
      </c>
      <c r="C241" t="s">
        <v>15</v>
      </c>
      <c r="D241" t="s">
        <v>16</v>
      </c>
      <c r="E241" t="s">
        <v>17</v>
      </c>
      <c r="F241" t="s">
        <v>18</v>
      </c>
      <c r="G241" t="s">
        <v>19</v>
      </c>
      <c r="N241" s="1"/>
      <c r="Q241" s="1"/>
    </row>
    <row r="242" spans="1:17" x14ac:dyDescent="0.2">
      <c r="A242" t="s">
        <v>37</v>
      </c>
      <c r="B242">
        <v>6</v>
      </c>
      <c r="C242" t="s">
        <v>22</v>
      </c>
      <c r="D242" t="s">
        <v>58</v>
      </c>
      <c r="E242">
        <v>47.624844789504998</v>
      </c>
      <c r="F242">
        <v>20053</v>
      </c>
      <c r="G242">
        <v>1137</v>
      </c>
      <c r="N242" s="1"/>
      <c r="Q242" s="1"/>
    </row>
    <row r="243" spans="1:17" x14ac:dyDescent="0.2">
      <c r="A243" t="s">
        <v>0</v>
      </c>
      <c r="B243" t="s">
        <v>14</v>
      </c>
      <c r="C243" t="s">
        <v>15</v>
      </c>
      <c r="D243" t="s">
        <v>16</v>
      </c>
      <c r="E243" t="s">
        <v>17</v>
      </c>
      <c r="F243" t="s">
        <v>18</v>
      </c>
      <c r="G243" t="s">
        <v>19</v>
      </c>
      <c r="N243" s="1"/>
      <c r="Q243" s="1"/>
    </row>
    <row r="244" spans="1:17" x14ac:dyDescent="0.2">
      <c r="A244" t="s">
        <v>37</v>
      </c>
      <c r="B244">
        <v>6</v>
      </c>
      <c r="C244" t="s">
        <v>22</v>
      </c>
      <c r="D244" t="s">
        <v>59</v>
      </c>
      <c r="E244">
        <v>52.852317810058501</v>
      </c>
      <c r="F244">
        <v>13419</v>
      </c>
      <c r="G244">
        <v>793</v>
      </c>
      <c r="N244" s="1"/>
      <c r="Q244" s="1"/>
    </row>
    <row r="245" spans="1:17" x14ac:dyDescent="0.2">
      <c r="A245" t="s">
        <v>0</v>
      </c>
      <c r="B245" t="s">
        <v>14</v>
      </c>
      <c r="C245" t="s">
        <v>15</v>
      </c>
      <c r="D245" t="s">
        <v>16</v>
      </c>
      <c r="E245" t="s">
        <v>17</v>
      </c>
      <c r="F245" t="s">
        <v>18</v>
      </c>
      <c r="G245" t="s">
        <v>19</v>
      </c>
      <c r="N245" s="1"/>
      <c r="Q245" s="1"/>
    </row>
    <row r="246" spans="1:17" x14ac:dyDescent="0.2">
      <c r="A246" t="s">
        <v>37</v>
      </c>
      <c r="B246">
        <v>8</v>
      </c>
      <c r="C246" t="s">
        <v>22</v>
      </c>
      <c r="D246" t="s">
        <v>58</v>
      </c>
      <c r="E246">
        <v>52.8536791801452</v>
      </c>
      <c r="F246">
        <v>35635</v>
      </c>
      <c r="G246">
        <v>1293</v>
      </c>
      <c r="N246" s="1"/>
      <c r="Q246" s="1"/>
    </row>
    <row r="247" spans="1:17" x14ac:dyDescent="0.2">
      <c r="A247" t="s">
        <v>0</v>
      </c>
      <c r="B247" t="s">
        <v>14</v>
      </c>
      <c r="C247" t="s">
        <v>15</v>
      </c>
      <c r="D247" t="s">
        <v>16</v>
      </c>
      <c r="E247" t="s">
        <v>17</v>
      </c>
      <c r="F247" t="s">
        <v>18</v>
      </c>
      <c r="G247" t="s">
        <v>19</v>
      </c>
      <c r="N247" s="1"/>
      <c r="Q247" s="1"/>
    </row>
    <row r="248" spans="1:17" x14ac:dyDescent="0.2">
      <c r="A248" t="s">
        <v>37</v>
      </c>
      <c r="B248">
        <v>8</v>
      </c>
      <c r="C248" t="s">
        <v>22</v>
      </c>
      <c r="D248" t="s">
        <v>59</v>
      </c>
      <c r="E248">
        <v>38.115768194198601</v>
      </c>
      <c r="F248">
        <v>21616</v>
      </c>
      <c r="G248">
        <v>668</v>
      </c>
      <c r="N248" s="1"/>
      <c r="Q248" s="1"/>
    </row>
    <row r="249" spans="1:17" x14ac:dyDescent="0.2">
      <c r="A249" t="s">
        <v>0</v>
      </c>
      <c r="B249" t="s">
        <v>14</v>
      </c>
      <c r="C249" t="s">
        <v>15</v>
      </c>
      <c r="D249" t="s">
        <v>16</v>
      </c>
      <c r="E249" t="s">
        <v>17</v>
      </c>
      <c r="F249" t="s">
        <v>18</v>
      </c>
      <c r="G249" t="s">
        <v>19</v>
      </c>
      <c r="N249" s="1"/>
      <c r="Q249" s="1"/>
    </row>
    <row r="250" spans="1:17" x14ac:dyDescent="0.2">
      <c r="A250" t="s">
        <v>37</v>
      </c>
      <c r="B250">
        <v>10</v>
      </c>
      <c r="C250" t="s">
        <v>22</v>
      </c>
      <c r="D250" t="s">
        <v>58</v>
      </c>
      <c r="E250">
        <v>283.17362308502197</v>
      </c>
      <c r="F250">
        <v>103689</v>
      </c>
      <c r="G250">
        <v>3114</v>
      </c>
      <c r="N250" s="1"/>
      <c r="Q250" s="1"/>
    </row>
    <row r="251" spans="1:17" x14ac:dyDescent="0.2">
      <c r="A251" t="s">
        <v>0</v>
      </c>
      <c r="B251" t="s">
        <v>14</v>
      </c>
      <c r="C251" t="s">
        <v>15</v>
      </c>
      <c r="D251" t="s">
        <v>16</v>
      </c>
      <c r="E251" t="s">
        <v>17</v>
      </c>
      <c r="F251" t="s">
        <v>18</v>
      </c>
      <c r="G251" t="s">
        <v>19</v>
      </c>
      <c r="N251" s="1"/>
      <c r="Q251" s="1"/>
    </row>
    <row r="252" spans="1:17" x14ac:dyDescent="0.2">
      <c r="A252" t="s">
        <v>37</v>
      </c>
      <c r="B252">
        <v>10</v>
      </c>
      <c r="C252" t="s">
        <v>22</v>
      </c>
      <c r="D252" t="s">
        <v>59</v>
      </c>
      <c r="E252">
        <v>287.95742821693398</v>
      </c>
      <c r="F252">
        <v>111982</v>
      </c>
      <c r="G252">
        <v>2502</v>
      </c>
      <c r="N252" s="1"/>
      <c r="Q252" s="1"/>
    </row>
    <row r="253" spans="1:17" x14ac:dyDescent="0.2">
      <c r="A253" t="s">
        <v>0</v>
      </c>
      <c r="B253" t="s">
        <v>14</v>
      </c>
      <c r="C253" t="s">
        <v>15</v>
      </c>
      <c r="D253" t="s">
        <v>16</v>
      </c>
      <c r="E253" t="s">
        <v>17</v>
      </c>
      <c r="F253" t="s">
        <v>18</v>
      </c>
      <c r="G253" t="s">
        <v>19</v>
      </c>
      <c r="N253" s="1"/>
      <c r="Q253" s="1"/>
    </row>
    <row r="254" spans="1:17" x14ac:dyDescent="0.2">
      <c r="A254" t="s">
        <v>37</v>
      </c>
      <c r="B254">
        <v>12</v>
      </c>
      <c r="C254" t="s">
        <v>22</v>
      </c>
      <c r="D254" t="s">
        <v>58</v>
      </c>
      <c r="E254">
        <v>4.4975128173828098</v>
      </c>
      <c r="F254">
        <v>3607</v>
      </c>
      <c r="G254">
        <v>84</v>
      </c>
      <c r="N254" s="1"/>
      <c r="Q254" s="1"/>
    </row>
    <row r="255" spans="1:17" x14ac:dyDescent="0.2">
      <c r="A255" t="s">
        <v>0</v>
      </c>
      <c r="B255" t="s">
        <v>14</v>
      </c>
      <c r="C255" t="s">
        <v>15</v>
      </c>
      <c r="D255" t="s">
        <v>16</v>
      </c>
      <c r="E255" t="s">
        <v>17</v>
      </c>
      <c r="F255" t="s">
        <v>18</v>
      </c>
      <c r="G255" t="s">
        <v>19</v>
      </c>
      <c r="N255" s="1"/>
      <c r="Q255" s="1"/>
    </row>
    <row r="256" spans="1:17" x14ac:dyDescent="0.2">
      <c r="A256" t="s">
        <v>37</v>
      </c>
      <c r="B256">
        <v>12</v>
      </c>
      <c r="C256" t="s">
        <v>22</v>
      </c>
      <c r="D256" t="s">
        <v>59</v>
      </c>
      <c r="E256">
        <v>18.827832937240601</v>
      </c>
      <c r="F256">
        <v>1144</v>
      </c>
      <c r="G256">
        <v>47</v>
      </c>
      <c r="N256" s="1"/>
      <c r="Q256" s="1"/>
    </row>
    <row r="257" spans="1:17" x14ac:dyDescent="0.2">
      <c r="A257" t="s">
        <v>0</v>
      </c>
      <c r="B257" t="s">
        <v>14</v>
      </c>
      <c r="C257" t="s">
        <v>15</v>
      </c>
      <c r="D257" t="s">
        <v>16</v>
      </c>
      <c r="E257" t="s">
        <v>17</v>
      </c>
      <c r="F257" t="s">
        <v>18</v>
      </c>
      <c r="G257" t="s">
        <v>19</v>
      </c>
      <c r="N257" s="1"/>
      <c r="Q257" s="1"/>
    </row>
    <row r="258" spans="1:17" x14ac:dyDescent="0.2">
      <c r="A258" t="s">
        <v>37</v>
      </c>
      <c r="B258">
        <v>300</v>
      </c>
      <c r="C258" t="s">
        <v>22</v>
      </c>
      <c r="D258" t="s">
        <v>58</v>
      </c>
      <c r="E258">
        <v>8.2615680694580007</v>
      </c>
      <c r="F258">
        <v>5867</v>
      </c>
      <c r="G258">
        <v>116</v>
      </c>
      <c r="N258" s="1"/>
      <c r="Q258" s="1"/>
    </row>
    <row r="259" spans="1:17" x14ac:dyDescent="0.2">
      <c r="A259" t="s">
        <v>0</v>
      </c>
      <c r="B259" t="s">
        <v>14</v>
      </c>
      <c r="C259" t="s">
        <v>15</v>
      </c>
      <c r="D259" t="s">
        <v>16</v>
      </c>
      <c r="E259" t="s">
        <v>17</v>
      </c>
      <c r="F259" t="s">
        <v>18</v>
      </c>
      <c r="G259" t="s">
        <v>19</v>
      </c>
      <c r="N259" s="1"/>
      <c r="Q259" s="1"/>
    </row>
    <row r="260" spans="1:17" x14ac:dyDescent="0.2">
      <c r="A260" t="s">
        <v>37</v>
      </c>
      <c r="B260">
        <v>300</v>
      </c>
      <c r="C260" t="s">
        <v>22</v>
      </c>
      <c r="D260" t="s">
        <v>59</v>
      </c>
      <c r="E260">
        <v>25.159731149673402</v>
      </c>
      <c r="F260">
        <v>5137</v>
      </c>
      <c r="G260">
        <v>74</v>
      </c>
      <c r="N260" s="1"/>
      <c r="Q260" s="1"/>
    </row>
    <row r="261" spans="1:17" x14ac:dyDescent="0.2">
      <c r="A261" t="s">
        <v>0</v>
      </c>
      <c r="B261" t="s">
        <v>14</v>
      </c>
      <c r="C261" t="s">
        <v>15</v>
      </c>
      <c r="D261" t="s">
        <v>16</v>
      </c>
      <c r="E261" t="s">
        <v>17</v>
      </c>
      <c r="F261" t="s">
        <v>18</v>
      </c>
      <c r="G261" t="s">
        <v>19</v>
      </c>
      <c r="N261" s="1"/>
      <c r="Q261" s="1"/>
    </row>
    <row r="262" spans="1:17" x14ac:dyDescent="0.2">
      <c r="A262" t="s">
        <v>38</v>
      </c>
      <c r="B262">
        <v>6</v>
      </c>
      <c r="C262" t="s">
        <v>22</v>
      </c>
      <c r="D262" t="s">
        <v>58</v>
      </c>
      <c r="E262">
        <v>55.4854090213775</v>
      </c>
      <c r="F262">
        <v>18399</v>
      </c>
      <c r="G262">
        <v>1849</v>
      </c>
      <c r="N262" s="1"/>
      <c r="Q262" s="1"/>
    </row>
    <row r="263" spans="1:17" x14ac:dyDescent="0.2">
      <c r="A263" t="s">
        <v>0</v>
      </c>
      <c r="B263" t="s">
        <v>14</v>
      </c>
      <c r="C263" t="s">
        <v>15</v>
      </c>
      <c r="D263" t="s">
        <v>16</v>
      </c>
      <c r="E263" t="s">
        <v>17</v>
      </c>
      <c r="F263" t="s">
        <v>18</v>
      </c>
      <c r="G263" t="s">
        <v>19</v>
      </c>
      <c r="N263" s="1"/>
      <c r="Q263" s="1"/>
    </row>
    <row r="264" spans="1:17" x14ac:dyDescent="0.2">
      <c r="A264" t="s">
        <v>38</v>
      </c>
      <c r="B264">
        <v>6</v>
      </c>
      <c r="C264" t="s">
        <v>22</v>
      </c>
      <c r="D264" t="s">
        <v>59</v>
      </c>
      <c r="E264">
        <v>64.7685480117797</v>
      </c>
      <c r="F264">
        <v>15926</v>
      </c>
      <c r="G264">
        <v>1539</v>
      </c>
      <c r="N264" s="1"/>
      <c r="Q264" s="1"/>
    </row>
    <row r="265" spans="1:17" x14ac:dyDescent="0.2">
      <c r="A265" t="s">
        <v>0</v>
      </c>
      <c r="B265" t="s">
        <v>14</v>
      </c>
      <c r="C265" t="s">
        <v>15</v>
      </c>
      <c r="D265" t="s">
        <v>16</v>
      </c>
      <c r="E265" t="s">
        <v>17</v>
      </c>
      <c r="F265" t="s">
        <v>18</v>
      </c>
      <c r="G265" t="s">
        <v>19</v>
      </c>
      <c r="N265" s="1"/>
      <c r="Q265" s="1"/>
    </row>
    <row r="266" spans="1:17" x14ac:dyDescent="0.2">
      <c r="A266" t="s">
        <v>38</v>
      </c>
      <c r="B266">
        <v>8</v>
      </c>
      <c r="C266" t="s">
        <v>22</v>
      </c>
      <c r="D266" t="s">
        <v>58</v>
      </c>
      <c r="E266">
        <v>161.30468416213901</v>
      </c>
      <c r="F266">
        <v>45045</v>
      </c>
      <c r="G266">
        <v>3108</v>
      </c>
      <c r="N266" s="1"/>
      <c r="Q266" s="1"/>
    </row>
    <row r="267" spans="1:17" x14ac:dyDescent="0.2">
      <c r="A267" t="s">
        <v>0</v>
      </c>
      <c r="B267" t="s">
        <v>14</v>
      </c>
      <c r="C267" t="s">
        <v>15</v>
      </c>
      <c r="D267" t="s">
        <v>16</v>
      </c>
      <c r="E267" t="s">
        <v>17</v>
      </c>
      <c r="F267" t="s">
        <v>18</v>
      </c>
      <c r="G267" t="s">
        <v>19</v>
      </c>
      <c r="N267" s="1"/>
      <c r="Q267" s="1"/>
    </row>
    <row r="268" spans="1:17" x14ac:dyDescent="0.2">
      <c r="A268" t="s">
        <v>38</v>
      </c>
      <c r="B268">
        <v>8</v>
      </c>
      <c r="C268" t="s">
        <v>22</v>
      </c>
      <c r="D268" t="s">
        <v>59</v>
      </c>
      <c r="E268">
        <v>154.50503492355301</v>
      </c>
      <c r="F268">
        <v>36935</v>
      </c>
      <c r="G268">
        <v>2611</v>
      </c>
      <c r="N268" s="1"/>
      <c r="Q268" s="1"/>
    </row>
    <row r="269" spans="1:17" x14ac:dyDescent="0.2">
      <c r="A269" t="s">
        <v>0</v>
      </c>
      <c r="B269" t="s">
        <v>14</v>
      </c>
      <c r="C269" t="s">
        <v>15</v>
      </c>
      <c r="D269" t="s">
        <v>16</v>
      </c>
      <c r="E269" t="s">
        <v>17</v>
      </c>
      <c r="F269" t="s">
        <v>18</v>
      </c>
      <c r="G269" t="s">
        <v>19</v>
      </c>
      <c r="N269" s="1"/>
      <c r="Q269" s="1"/>
    </row>
    <row r="270" spans="1:17" x14ac:dyDescent="0.2">
      <c r="A270" t="s">
        <v>38</v>
      </c>
      <c r="B270">
        <v>10</v>
      </c>
      <c r="C270" t="s">
        <v>22</v>
      </c>
      <c r="D270" t="s">
        <v>58</v>
      </c>
      <c r="E270">
        <v>195.16438293457</v>
      </c>
      <c r="F270">
        <v>58495</v>
      </c>
      <c r="G270">
        <v>3672</v>
      </c>
      <c r="N270" s="1"/>
      <c r="Q270" s="1"/>
    </row>
    <row r="271" spans="1:17" x14ac:dyDescent="0.2">
      <c r="A271" t="s">
        <v>0</v>
      </c>
      <c r="B271" t="s">
        <v>14</v>
      </c>
      <c r="C271" t="s">
        <v>15</v>
      </c>
      <c r="D271" t="s">
        <v>16</v>
      </c>
      <c r="E271" t="s">
        <v>17</v>
      </c>
      <c r="F271" t="s">
        <v>18</v>
      </c>
      <c r="G271" t="s">
        <v>19</v>
      </c>
      <c r="N271" s="1"/>
      <c r="Q271" s="1"/>
    </row>
    <row r="272" spans="1:17" x14ac:dyDescent="0.2">
      <c r="A272" t="s">
        <v>38</v>
      </c>
      <c r="B272">
        <v>10</v>
      </c>
      <c r="C272" t="s">
        <v>22</v>
      </c>
      <c r="D272" t="s">
        <v>59</v>
      </c>
      <c r="E272">
        <v>168.21745300292901</v>
      </c>
      <c r="F272">
        <v>44357</v>
      </c>
      <c r="G272">
        <v>3048</v>
      </c>
      <c r="N272" s="1"/>
      <c r="Q272" s="1"/>
    </row>
    <row r="273" spans="1:17" x14ac:dyDescent="0.2">
      <c r="A273" t="s">
        <v>0</v>
      </c>
      <c r="B273" t="s">
        <v>14</v>
      </c>
      <c r="C273" t="s">
        <v>15</v>
      </c>
      <c r="D273" t="s">
        <v>16</v>
      </c>
      <c r="E273" t="s">
        <v>17</v>
      </c>
      <c r="F273" t="s">
        <v>18</v>
      </c>
      <c r="G273" t="s">
        <v>19</v>
      </c>
      <c r="N273" s="1"/>
      <c r="Q273" s="1"/>
    </row>
    <row r="274" spans="1:17" x14ac:dyDescent="0.2">
      <c r="A274" t="s">
        <v>38</v>
      </c>
      <c r="B274">
        <v>12</v>
      </c>
      <c r="C274" t="s">
        <v>22</v>
      </c>
      <c r="D274" t="s">
        <v>58</v>
      </c>
      <c r="E274">
        <v>8.9278969764709402</v>
      </c>
      <c r="F274">
        <v>5509</v>
      </c>
      <c r="G274">
        <v>187</v>
      </c>
      <c r="N274" s="1"/>
      <c r="Q274" s="1"/>
    </row>
    <row r="275" spans="1:17" x14ac:dyDescent="0.2">
      <c r="A275" t="s">
        <v>0</v>
      </c>
      <c r="B275" t="s">
        <v>14</v>
      </c>
      <c r="C275" t="s">
        <v>15</v>
      </c>
      <c r="D275" t="s">
        <v>16</v>
      </c>
      <c r="E275" t="s">
        <v>17</v>
      </c>
      <c r="F275" t="s">
        <v>18</v>
      </c>
      <c r="G275" t="s">
        <v>19</v>
      </c>
      <c r="N275" s="1"/>
      <c r="Q275" s="1"/>
    </row>
    <row r="276" spans="1:17" x14ac:dyDescent="0.2">
      <c r="A276" t="s">
        <v>38</v>
      </c>
      <c r="B276">
        <v>12</v>
      </c>
      <c r="C276" t="s">
        <v>22</v>
      </c>
      <c r="D276" t="s">
        <v>59</v>
      </c>
      <c r="E276">
        <v>22.749384164810099</v>
      </c>
      <c r="F276">
        <v>3707</v>
      </c>
      <c r="G276">
        <v>127</v>
      </c>
      <c r="N276" s="1"/>
      <c r="Q276" s="1"/>
    </row>
    <row r="277" spans="1:17" x14ac:dyDescent="0.2">
      <c r="A277" t="s">
        <v>0</v>
      </c>
      <c r="B277" t="s">
        <v>14</v>
      </c>
      <c r="C277" t="s">
        <v>15</v>
      </c>
      <c r="D277" t="s">
        <v>16</v>
      </c>
      <c r="E277" t="s">
        <v>17</v>
      </c>
      <c r="F277" t="s">
        <v>18</v>
      </c>
      <c r="G277" t="s">
        <v>19</v>
      </c>
      <c r="N277" s="1"/>
      <c r="Q277" s="1"/>
    </row>
    <row r="278" spans="1:17" x14ac:dyDescent="0.2">
      <c r="A278" t="s">
        <v>38</v>
      </c>
      <c r="B278">
        <v>300</v>
      </c>
      <c r="C278" t="s">
        <v>22</v>
      </c>
      <c r="D278" t="s">
        <v>58</v>
      </c>
      <c r="E278">
        <v>16.063643932342501</v>
      </c>
      <c r="F278">
        <v>12237</v>
      </c>
      <c r="G278">
        <v>215</v>
      </c>
      <c r="N278" s="1"/>
      <c r="Q278" s="1"/>
    </row>
    <row r="279" spans="1:17" x14ac:dyDescent="0.2">
      <c r="A279" t="s">
        <v>0</v>
      </c>
      <c r="B279" t="s">
        <v>14</v>
      </c>
      <c r="C279" t="s">
        <v>15</v>
      </c>
      <c r="D279" t="s">
        <v>16</v>
      </c>
      <c r="E279" t="s">
        <v>17</v>
      </c>
      <c r="F279" t="s">
        <v>18</v>
      </c>
      <c r="G279" t="s">
        <v>19</v>
      </c>
      <c r="N279" s="1"/>
      <c r="Q279" s="1"/>
    </row>
    <row r="280" spans="1:17" x14ac:dyDescent="0.2">
      <c r="A280" t="s">
        <v>38</v>
      </c>
      <c r="B280">
        <v>300</v>
      </c>
      <c r="C280" t="s">
        <v>22</v>
      </c>
      <c r="D280" t="s">
        <v>59</v>
      </c>
      <c r="E280">
        <v>31.032446146011299</v>
      </c>
      <c r="F280">
        <v>9941</v>
      </c>
      <c r="G280">
        <v>199</v>
      </c>
      <c r="N280" s="1"/>
      <c r="Q280" s="1"/>
    </row>
    <row r="281" spans="1:17" x14ac:dyDescent="0.2">
      <c r="A281" t="s">
        <v>0</v>
      </c>
      <c r="B281" t="s">
        <v>14</v>
      </c>
      <c r="C281" t="s">
        <v>15</v>
      </c>
      <c r="D281" t="s">
        <v>16</v>
      </c>
      <c r="E281" t="s">
        <v>17</v>
      </c>
      <c r="F281" t="s">
        <v>18</v>
      </c>
      <c r="G281" t="s">
        <v>19</v>
      </c>
      <c r="N281" s="1"/>
      <c r="Q281" s="1"/>
    </row>
    <row r="282" spans="1:17" x14ac:dyDescent="0.2">
      <c r="A282" t="s">
        <v>39</v>
      </c>
      <c r="B282">
        <v>6</v>
      </c>
      <c r="C282" t="s">
        <v>22</v>
      </c>
      <c r="D282" t="s">
        <v>58</v>
      </c>
      <c r="E282">
        <v>5.48536801338195</v>
      </c>
      <c r="F282">
        <v>2295</v>
      </c>
      <c r="G282">
        <v>351</v>
      </c>
      <c r="N282" s="1"/>
      <c r="Q282" s="1"/>
    </row>
    <row r="283" spans="1:17" x14ac:dyDescent="0.2">
      <c r="A283" t="s">
        <v>0</v>
      </c>
      <c r="B283" t="s">
        <v>14</v>
      </c>
      <c r="C283" t="s">
        <v>15</v>
      </c>
      <c r="D283" t="s">
        <v>16</v>
      </c>
      <c r="E283" t="s">
        <v>17</v>
      </c>
      <c r="F283" t="s">
        <v>18</v>
      </c>
      <c r="G283" t="s">
        <v>19</v>
      </c>
      <c r="N283" s="1"/>
      <c r="Q283" s="1"/>
    </row>
    <row r="284" spans="1:17" x14ac:dyDescent="0.2">
      <c r="A284" t="s">
        <v>39</v>
      </c>
      <c r="B284">
        <v>6</v>
      </c>
      <c r="C284" t="s">
        <v>22</v>
      </c>
      <c r="D284" t="s">
        <v>59</v>
      </c>
      <c r="E284">
        <v>12.0485820770263</v>
      </c>
      <c r="F284">
        <v>934</v>
      </c>
      <c r="G284">
        <v>104</v>
      </c>
      <c r="N284" s="1"/>
      <c r="Q284" s="1"/>
    </row>
    <row r="285" spans="1:17" x14ac:dyDescent="0.2">
      <c r="A285" t="s">
        <v>0</v>
      </c>
      <c r="B285" t="s">
        <v>14</v>
      </c>
      <c r="C285" t="s">
        <v>15</v>
      </c>
      <c r="D285" t="s">
        <v>16</v>
      </c>
      <c r="E285" t="s">
        <v>17</v>
      </c>
      <c r="F285" t="s">
        <v>18</v>
      </c>
      <c r="G285" t="s">
        <v>19</v>
      </c>
      <c r="N285" s="1"/>
      <c r="Q285" s="1"/>
    </row>
    <row r="286" spans="1:17" x14ac:dyDescent="0.2">
      <c r="A286" t="s">
        <v>39</v>
      </c>
      <c r="B286">
        <v>8</v>
      </c>
      <c r="C286" t="s">
        <v>22</v>
      </c>
      <c r="D286" t="s">
        <v>58</v>
      </c>
      <c r="E286">
        <v>6.5263049602508501</v>
      </c>
      <c r="F286">
        <v>4227</v>
      </c>
      <c r="G286">
        <v>357</v>
      </c>
      <c r="N286" s="1"/>
      <c r="Q286" s="1"/>
    </row>
    <row r="287" spans="1:17" x14ac:dyDescent="0.2">
      <c r="A287" t="s">
        <v>0</v>
      </c>
      <c r="B287" t="s">
        <v>14</v>
      </c>
      <c r="C287" t="s">
        <v>15</v>
      </c>
      <c r="D287" t="s">
        <v>16</v>
      </c>
      <c r="E287" t="s">
        <v>17</v>
      </c>
      <c r="F287" t="s">
        <v>18</v>
      </c>
      <c r="G287" t="s">
        <v>19</v>
      </c>
      <c r="N287" s="1"/>
      <c r="Q287" s="1"/>
    </row>
    <row r="288" spans="1:17" x14ac:dyDescent="0.2">
      <c r="A288" t="s">
        <v>39</v>
      </c>
      <c r="B288">
        <v>8</v>
      </c>
      <c r="C288" t="s">
        <v>22</v>
      </c>
      <c r="D288" t="s">
        <v>59</v>
      </c>
      <c r="E288">
        <v>11.8969259262084</v>
      </c>
      <c r="F288">
        <v>1100</v>
      </c>
      <c r="G288">
        <v>73</v>
      </c>
      <c r="N288" s="1"/>
      <c r="Q288" s="1"/>
    </row>
    <row r="289" spans="1:17" x14ac:dyDescent="0.2">
      <c r="A289" t="s">
        <v>0</v>
      </c>
      <c r="B289" t="s">
        <v>14</v>
      </c>
      <c r="C289" t="s">
        <v>15</v>
      </c>
      <c r="D289" t="s">
        <v>16</v>
      </c>
      <c r="E289" t="s">
        <v>17</v>
      </c>
      <c r="F289" t="s">
        <v>18</v>
      </c>
      <c r="G289" t="s">
        <v>19</v>
      </c>
      <c r="N289" s="1"/>
      <c r="Q289" s="1"/>
    </row>
    <row r="290" spans="1:17" x14ac:dyDescent="0.2">
      <c r="A290" t="s">
        <v>39</v>
      </c>
      <c r="B290">
        <v>10</v>
      </c>
      <c r="C290" t="s">
        <v>22</v>
      </c>
      <c r="D290" t="s">
        <v>58</v>
      </c>
      <c r="E290">
        <v>6.8551528453826904</v>
      </c>
      <c r="F290">
        <v>4610</v>
      </c>
      <c r="G290">
        <v>385</v>
      </c>
      <c r="N290" s="1"/>
      <c r="Q290" s="1"/>
    </row>
    <row r="291" spans="1:17" x14ac:dyDescent="0.2">
      <c r="A291" t="s">
        <v>0</v>
      </c>
      <c r="B291" t="s">
        <v>14</v>
      </c>
      <c r="C291" t="s">
        <v>15</v>
      </c>
      <c r="D291" t="s">
        <v>16</v>
      </c>
      <c r="E291" t="s">
        <v>17</v>
      </c>
      <c r="F291" t="s">
        <v>18</v>
      </c>
      <c r="G291" t="s">
        <v>19</v>
      </c>
      <c r="N291" s="1"/>
      <c r="Q291" s="1"/>
    </row>
    <row r="292" spans="1:17" x14ac:dyDescent="0.2">
      <c r="A292" t="s">
        <v>39</v>
      </c>
      <c r="B292">
        <v>10</v>
      </c>
      <c r="C292" t="s">
        <v>22</v>
      </c>
      <c r="D292" t="s">
        <v>59</v>
      </c>
      <c r="E292">
        <v>14.228144168853699</v>
      </c>
      <c r="F292">
        <v>1419</v>
      </c>
      <c r="G292">
        <v>140</v>
      </c>
      <c r="N292" s="1"/>
      <c r="Q292" s="1"/>
    </row>
    <row r="293" spans="1:17" x14ac:dyDescent="0.2">
      <c r="A293" t="s">
        <v>0</v>
      </c>
      <c r="B293" t="s">
        <v>14</v>
      </c>
      <c r="C293" t="s">
        <v>15</v>
      </c>
      <c r="D293" t="s">
        <v>16</v>
      </c>
      <c r="E293" t="s">
        <v>17</v>
      </c>
      <c r="F293" t="s">
        <v>18</v>
      </c>
      <c r="G293" t="s">
        <v>19</v>
      </c>
      <c r="N293" s="1"/>
      <c r="Q293" s="1"/>
    </row>
    <row r="294" spans="1:17" x14ac:dyDescent="0.2">
      <c r="A294" t="s">
        <v>39</v>
      </c>
      <c r="B294">
        <v>12</v>
      </c>
      <c r="C294" t="s">
        <v>22</v>
      </c>
      <c r="D294" t="s">
        <v>58</v>
      </c>
      <c r="E294">
        <v>0.42710995674133301</v>
      </c>
      <c r="F294">
        <v>174</v>
      </c>
      <c r="G294">
        <v>30</v>
      </c>
      <c r="N294" s="1"/>
      <c r="Q294" s="1"/>
    </row>
    <row r="295" spans="1:17" x14ac:dyDescent="0.2">
      <c r="A295" t="s">
        <v>0</v>
      </c>
      <c r="B295" t="s">
        <v>14</v>
      </c>
      <c r="C295" t="s">
        <v>15</v>
      </c>
      <c r="D295" t="s">
        <v>16</v>
      </c>
      <c r="E295" t="s">
        <v>17</v>
      </c>
      <c r="F295" t="s">
        <v>18</v>
      </c>
      <c r="G295" t="s">
        <v>19</v>
      </c>
      <c r="N295" s="1"/>
      <c r="Q295" s="1"/>
    </row>
    <row r="296" spans="1:17" x14ac:dyDescent="0.2">
      <c r="A296" t="s">
        <v>39</v>
      </c>
      <c r="B296">
        <v>12</v>
      </c>
      <c r="C296" t="s">
        <v>22</v>
      </c>
      <c r="D296" t="s">
        <v>59</v>
      </c>
      <c r="E296">
        <v>10.710879087448101</v>
      </c>
      <c r="F296">
        <v>120</v>
      </c>
      <c r="G296">
        <v>18</v>
      </c>
      <c r="N296" s="1"/>
      <c r="Q296" s="1"/>
    </row>
    <row r="297" spans="1:17" x14ac:dyDescent="0.2">
      <c r="A297" t="s">
        <v>0</v>
      </c>
      <c r="B297" t="s">
        <v>14</v>
      </c>
      <c r="C297" t="s">
        <v>15</v>
      </c>
      <c r="D297" t="s">
        <v>16</v>
      </c>
      <c r="E297" t="s">
        <v>17</v>
      </c>
      <c r="F297" t="s">
        <v>18</v>
      </c>
      <c r="G297" t="s">
        <v>19</v>
      </c>
      <c r="N297" s="1"/>
      <c r="Q297" s="1"/>
    </row>
    <row r="298" spans="1:17" x14ac:dyDescent="0.2">
      <c r="A298" t="s">
        <v>39</v>
      </c>
      <c r="B298">
        <v>300</v>
      </c>
      <c r="C298" t="s">
        <v>22</v>
      </c>
      <c r="D298" t="s">
        <v>58</v>
      </c>
      <c r="E298">
        <v>1.02639484405517</v>
      </c>
      <c r="F298">
        <v>511</v>
      </c>
      <c r="G298">
        <v>50</v>
      </c>
      <c r="N298" s="1"/>
      <c r="Q298" s="1"/>
    </row>
    <row r="299" spans="1:17" x14ac:dyDescent="0.2">
      <c r="A299" t="s">
        <v>0</v>
      </c>
      <c r="B299" t="s">
        <v>14</v>
      </c>
      <c r="C299" t="s">
        <v>15</v>
      </c>
      <c r="D299" t="s">
        <v>16</v>
      </c>
      <c r="E299" t="s">
        <v>17</v>
      </c>
      <c r="F299" t="s">
        <v>18</v>
      </c>
      <c r="G299" t="s">
        <v>19</v>
      </c>
      <c r="N299" s="1"/>
      <c r="Q299" s="1"/>
    </row>
    <row r="300" spans="1:17" x14ac:dyDescent="0.2">
      <c r="A300" t="s">
        <v>39</v>
      </c>
      <c r="B300">
        <v>300</v>
      </c>
      <c r="C300" t="s">
        <v>22</v>
      </c>
      <c r="D300" t="s">
        <v>59</v>
      </c>
      <c r="E300">
        <v>12.2420289516448</v>
      </c>
      <c r="F300">
        <v>360</v>
      </c>
      <c r="G300">
        <v>31</v>
      </c>
      <c r="N300" s="1"/>
      <c r="Q300" s="1"/>
    </row>
    <row r="301" spans="1:17" x14ac:dyDescent="0.2">
      <c r="A301" t="s">
        <v>0</v>
      </c>
      <c r="B301" t="s">
        <v>14</v>
      </c>
      <c r="C301" t="s">
        <v>15</v>
      </c>
      <c r="D301" t="s">
        <v>16</v>
      </c>
      <c r="E301" t="s">
        <v>17</v>
      </c>
      <c r="F301" t="s">
        <v>18</v>
      </c>
      <c r="G301" t="s">
        <v>19</v>
      </c>
      <c r="N301" s="1"/>
      <c r="Q301" s="1"/>
    </row>
    <row r="302" spans="1:17" x14ac:dyDescent="0.2">
      <c r="A302" t="s">
        <v>40</v>
      </c>
      <c r="B302">
        <v>6</v>
      </c>
      <c r="C302" t="s">
        <v>22</v>
      </c>
      <c r="D302" t="s">
        <v>58</v>
      </c>
      <c r="E302">
        <v>3.9951541423797599</v>
      </c>
      <c r="F302">
        <v>2341</v>
      </c>
      <c r="G302">
        <v>353</v>
      </c>
      <c r="N302" s="1"/>
      <c r="Q302" s="1"/>
    </row>
    <row r="303" spans="1:17" x14ac:dyDescent="0.2">
      <c r="A303" t="s">
        <v>0</v>
      </c>
      <c r="B303" t="s">
        <v>14</v>
      </c>
      <c r="C303" t="s">
        <v>15</v>
      </c>
      <c r="D303" t="s">
        <v>16</v>
      </c>
      <c r="E303" t="s">
        <v>17</v>
      </c>
      <c r="F303" t="s">
        <v>18</v>
      </c>
      <c r="G303" t="s">
        <v>19</v>
      </c>
      <c r="N303" s="1"/>
      <c r="Q303" s="1"/>
    </row>
    <row r="304" spans="1:17" x14ac:dyDescent="0.2">
      <c r="A304" t="s">
        <v>40</v>
      </c>
      <c r="B304">
        <v>6</v>
      </c>
      <c r="C304" t="s">
        <v>22</v>
      </c>
      <c r="D304" t="s">
        <v>59</v>
      </c>
      <c r="E304">
        <v>11.4696309566497</v>
      </c>
      <c r="F304">
        <v>1089</v>
      </c>
      <c r="G304">
        <v>101</v>
      </c>
      <c r="N304" s="1"/>
      <c r="Q304" s="1"/>
    </row>
    <row r="305" spans="1:17" x14ac:dyDescent="0.2">
      <c r="A305" t="s">
        <v>0</v>
      </c>
      <c r="B305" t="s">
        <v>14</v>
      </c>
      <c r="C305" t="s">
        <v>15</v>
      </c>
      <c r="D305" t="s">
        <v>16</v>
      </c>
      <c r="E305" t="s">
        <v>17</v>
      </c>
      <c r="F305" t="s">
        <v>18</v>
      </c>
      <c r="G305" t="s">
        <v>19</v>
      </c>
      <c r="N305" s="1"/>
      <c r="Q305" s="1"/>
    </row>
    <row r="306" spans="1:17" x14ac:dyDescent="0.2">
      <c r="A306" t="s">
        <v>40</v>
      </c>
      <c r="B306">
        <v>8</v>
      </c>
      <c r="C306" t="s">
        <v>22</v>
      </c>
      <c r="D306" t="s">
        <v>58</v>
      </c>
      <c r="E306">
        <v>9.7116360664367605</v>
      </c>
      <c r="F306">
        <v>6503</v>
      </c>
      <c r="G306">
        <v>635</v>
      </c>
      <c r="N306" s="1"/>
      <c r="Q306" s="1"/>
    </row>
    <row r="307" spans="1:17" x14ac:dyDescent="0.2">
      <c r="A307" t="s">
        <v>0</v>
      </c>
      <c r="B307" t="s">
        <v>14</v>
      </c>
      <c r="C307" t="s">
        <v>15</v>
      </c>
      <c r="D307" t="s">
        <v>16</v>
      </c>
      <c r="E307" t="s">
        <v>17</v>
      </c>
      <c r="F307" t="s">
        <v>18</v>
      </c>
      <c r="G307" t="s">
        <v>19</v>
      </c>
      <c r="N307" s="1"/>
      <c r="Q307" s="1"/>
    </row>
    <row r="308" spans="1:17" x14ac:dyDescent="0.2">
      <c r="A308" t="s">
        <v>40</v>
      </c>
      <c r="B308">
        <v>8</v>
      </c>
      <c r="C308" t="s">
        <v>22</v>
      </c>
      <c r="D308" t="s">
        <v>59</v>
      </c>
      <c r="E308">
        <v>15.3983600139617</v>
      </c>
      <c r="F308">
        <v>3518</v>
      </c>
      <c r="G308">
        <v>295</v>
      </c>
      <c r="N308" s="1"/>
      <c r="Q308" s="1"/>
    </row>
    <row r="309" spans="1:17" x14ac:dyDescent="0.2">
      <c r="A309" t="s">
        <v>0</v>
      </c>
      <c r="B309" t="s">
        <v>14</v>
      </c>
      <c r="C309" t="s">
        <v>15</v>
      </c>
      <c r="D309" t="s">
        <v>16</v>
      </c>
      <c r="E309" t="s">
        <v>17</v>
      </c>
      <c r="F309" t="s">
        <v>18</v>
      </c>
      <c r="G309" t="s">
        <v>19</v>
      </c>
      <c r="N309" s="1"/>
      <c r="Q309" s="1"/>
    </row>
    <row r="310" spans="1:17" x14ac:dyDescent="0.2">
      <c r="A310" t="s">
        <v>40</v>
      </c>
      <c r="B310">
        <v>10</v>
      </c>
      <c r="C310" t="s">
        <v>22</v>
      </c>
      <c r="D310" t="s">
        <v>58</v>
      </c>
      <c r="E310">
        <v>19.089736938476499</v>
      </c>
      <c r="F310">
        <v>12090</v>
      </c>
      <c r="G310">
        <v>927</v>
      </c>
      <c r="N310" s="1"/>
      <c r="Q310" s="1"/>
    </row>
    <row r="311" spans="1:17" x14ac:dyDescent="0.2">
      <c r="A311" t="s">
        <v>0</v>
      </c>
      <c r="B311" t="s">
        <v>14</v>
      </c>
      <c r="C311" t="s">
        <v>15</v>
      </c>
      <c r="D311" t="s">
        <v>16</v>
      </c>
      <c r="E311" t="s">
        <v>17</v>
      </c>
      <c r="F311" t="s">
        <v>18</v>
      </c>
      <c r="G311" t="s">
        <v>19</v>
      </c>
      <c r="N311" s="1"/>
      <c r="Q311" s="1"/>
    </row>
    <row r="312" spans="1:17" x14ac:dyDescent="0.2">
      <c r="A312" t="s">
        <v>40</v>
      </c>
      <c r="B312">
        <v>10</v>
      </c>
      <c r="C312" t="s">
        <v>22</v>
      </c>
      <c r="D312" t="s">
        <v>59</v>
      </c>
      <c r="E312">
        <v>21.740175962448099</v>
      </c>
      <c r="F312">
        <v>6265</v>
      </c>
      <c r="G312">
        <v>402</v>
      </c>
      <c r="N312" s="1"/>
      <c r="Q312" s="1"/>
    </row>
    <row r="313" spans="1:17" x14ac:dyDescent="0.2">
      <c r="A313" t="s">
        <v>0</v>
      </c>
      <c r="B313" t="s">
        <v>14</v>
      </c>
      <c r="C313" t="s">
        <v>15</v>
      </c>
      <c r="D313" t="s">
        <v>16</v>
      </c>
      <c r="E313" t="s">
        <v>17</v>
      </c>
      <c r="F313" t="s">
        <v>18</v>
      </c>
      <c r="G313" t="s">
        <v>19</v>
      </c>
      <c r="N313" s="1"/>
      <c r="Q313" s="1"/>
    </row>
    <row r="314" spans="1:17" x14ac:dyDescent="0.2">
      <c r="A314" t="s">
        <v>40</v>
      </c>
      <c r="B314">
        <v>12</v>
      </c>
      <c r="C314" t="s">
        <v>22</v>
      </c>
      <c r="D314" t="s">
        <v>58</v>
      </c>
      <c r="E314">
        <v>3.74165606498718</v>
      </c>
      <c r="F314">
        <v>1118</v>
      </c>
      <c r="G314">
        <v>136</v>
      </c>
      <c r="N314" s="1"/>
      <c r="Q314" s="1"/>
    </row>
    <row r="315" spans="1:17" x14ac:dyDescent="0.2">
      <c r="A315" t="s">
        <v>0</v>
      </c>
      <c r="B315" t="s">
        <v>14</v>
      </c>
      <c r="C315" t="s">
        <v>15</v>
      </c>
      <c r="D315" t="s">
        <v>16</v>
      </c>
      <c r="E315" t="s">
        <v>17</v>
      </c>
      <c r="F315" t="s">
        <v>18</v>
      </c>
      <c r="G315" t="s">
        <v>19</v>
      </c>
      <c r="N315" s="1"/>
      <c r="Q315" s="1"/>
    </row>
    <row r="316" spans="1:17" x14ac:dyDescent="0.2">
      <c r="A316" t="s">
        <v>40</v>
      </c>
      <c r="B316">
        <v>12</v>
      </c>
      <c r="C316" t="s">
        <v>22</v>
      </c>
      <c r="D316" t="s">
        <v>59</v>
      </c>
      <c r="E316">
        <v>19.102811098098702</v>
      </c>
      <c r="F316">
        <v>794</v>
      </c>
      <c r="G316">
        <v>79</v>
      </c>
      <c r="N316" s="1"/>
      <c r="Q316" s="1"/>
    </row>
    <row r="317" spans="1:17" x14ac:dyDescent="0.2">
      <c r="A317" t="s">
        <v>0</v>
      </c>
      <c r="B317" t="s">
        <v>14</v>
      </c>
      <c r="C317" t="s">
        <v>15</v>
      </c>
      <c r="D317" t="s">
        <v>16</v>
      </c>
      <c r="E317" t="s">
        <v>17</v>
      </c>
      <c r="F317" t="s">
        <v>18</v>
      </c>
      <c r="G317" t="s">
        <v>19</v>
      </c>
      <c r="N317" s="1"/>
      <c r="Q317" s="1"/>
    </row>
    <row r="318" spans="1:17" x14ac:dyDescent="0.2">
      <c r="A318" t="s">
        <v>40</v>
      </c>
      <c r="B318">
        <v>300</v>
      </c>
      <c r="C318" t="s">
        <v>22</v>
      </c>
      <c r="D318" t="s">
        <v>58</v>
      </c>
      <c r="E318">
        <v>5.1732578277587802</v>
      </c>
      <c r="F318">
        <v>3233</v>
      </c>
      <c r="G318">
        <v>195</v>
      </c>
      <c r="N318" s="1"/>
      <c r="Q318" s="1"/>
    </row>
    <row r="319" spans="1:17" x14ac:dyDescent="0.2">
      <c r="A319" t="s">
        <v>0</v>
      </c>
      <c r="B319" t="s">
        <v>14</v>
      </c>
      <c r="C319" t="s">
        <v>15</v>
      </c>
      <c r="D319" t="s">
        <v>16</v>
      </c>
      <c r="E319" t="s">
        <v>17</v>
      </c>
      <c r="F319" t="s">
        <v>18</v>
      </c>
      <c r="G319" t="s">
        <v>19</v>
      </c>
      <c r="N319" s="1"/>
      <c r="Q319" s="1"/>
    </row>
    <row r="320" spans="1:17" x14ac:dyDescent="0.2">
      <c r="A320" t="s">
        <v>40</v>
      </c>
      <c r="B320">
        <v>300</v>
      </c>
      <c r="C320" t="s">
        <v>22</v>
      </c>
      <c r="D320" t="s">
        <v>59</v>
      </c>
      <c r="E320">
        <v>19.058598041534399</v>
      </c>
      <c r="F320">
        <v>3056</v>
      </c>
      <c r="G320">
        <v>158</v>
      </c>
      <c r="N320" s="1"/>
      <c r="Q320" s="1"/>
    </row>
    <row r="321" spans="1:17" x14ac:dyDescent="0.2">
      <c r="A321" t="s">
        <v>0</v>
      </c>
      <c r="B321" t="s">
        <v>14</v>
      </c>
      <c r="C321" t="s">
        <v>15</v>
      </c>
      <c r="D321" t="s">
        <v>16</v>
      </c>
      <c r="E321" t="s">
        <v>17</v>
      </c>
      <c r="F321" t="s">
        <v>18</v>
      </c>
      <c r="G321" t="s">
        <v>19</v>
      </c>
      <c r="N321" s="1"/>
      <c r="Q321" s="1"/>
    </row>
    <row r="322" spans="1:17" x14ac:dyDescent="0.2">
      <c r="A322" t="s">
        <v>41</v>
      </c>
      <c r="B322">
        <v>6</v>
      </c>
      <c r="C322" t="s">
        <v>22</v>
      </c>
      <c r="D322" t="s">
        <v>58</v>
      </c>
      <c r="E322">
        <v>3.8886959552764799</v>
      </c>
      <c r="F322">
        <v>1413</v>
      </c>
      <c r="G322">
        <v>285</v>
      </c>
      <c r="N322" s="1"/>
      <c r="Q322" s="1"/>
    </row>
    <row r="323" spans="1:17" x14ac:dyDescent="0.2">
      <c r="A323" t="s">
        <v>0</v>
      </c>
      <c r="B323" t="s">
        <v>14</v>
      </c>
      <c r="C323" t="s">
        <v>15</v>
      </c>
      <c r="D323" t="s">
        <v>16</v>
      </c>
      <c r="E323" t="s">
        <v>17</v>
      </c>
      <c r="F323" t="s">
        <v>18</v>
      </c>
      <c r="G323" t="s">
        <v>19</v>
      </c>
      <c r="N323" s="1"/>
      <c r="Q323" s="1"/>
    </row>
    <row r="324" spans="1:17" x14ac:dyDescent="0.2">
      <c r="A324" t="s">
        <v>41</v>
      </c>
      <c r="B324">
        <v>6</v>
      </c>
      <c r="C324" t="s">
        <v>22</v>
      </c>
      <c r="D324" t="s">
        <v>59</v>
      </c>
      <c r="E324">
        <v>12.861477136611899</v>
      </c>
      <c r="F324">
        <v>1120</v>
      </c>
      <c r="G324">
        <v>195</v>
      </c>
      <c r="N324" s="1"/>
      <c r="Q324" s="1"/>
    </row>
    <row r="325" spans="1:17" x14ac:dyDescent="0.2">
      <c r="A325" t="s">
        <v>0</v>
      </c>
      <c r="B325" t="s">
        <v>14</v>
      </c>
      <c r="C325" t="s">
        <v>15</v>
      </c>
      <c r="D325" t="s">
        <v>16</v>
      </c>
      <c r="E325" t="s">
        <v>17</v>
      </c>
      <c r="F325" t="s">
        <v>18</v>
      </c>
      <c r="G325" t="s">
        <v>19</v>
      </c>
      <c r="N325" s="1"/>
      <c r="Q325" s="1"/>
    </row>
    <row r="326" spans="1:17" x14ac:dyDescent="0.2">
      <c r="A326" t="s">
        <v>41</v>
      </c>
      <c r="B326">
        <v>8</v>
      </c>
      <c r="C326" t="s">
        <v>22</v>
      </c>
      <c r="D326" t="s">
        <v>58</v>
      </c>
      <c r="E326">
        <v>3.2992889881134002</v>
      </c>
      <c r="F326">
        <v>1996</v>
      </c>
      <c r="G326">
        <v>250</v>
      </c>
      <c r="N326" s="1"/>
      <c r="Q326" s="1"/>
    </row>
    <row r="327" spans="1:17" x14ac:dyDescent="0.2">
      <c r="A327" t="s">
        <v>0</v>
      </c>
      <c r="B327" t="s">
        <v>14</v>
      </c>
      <c r="C327" t="s">
        <v>15</v>
      </c>
      <c r="D327" t="s">
        <v>16</v>
      </c>
      <c r="E327" t="s">
        <v>17</v>
      </c>
      <c r="F327" t="s">
        <v>18</v>
      </c>
      <c r="G327" t="s">
        <v>19</v>
      </c>
      <c r="N327" s="1"/>
      <c r="Q327" s="1"/>
    </row>
    <row r="328" spans="1:17" x14ac:dyDescent="0.2">
      <c r="A328" t="s">
        <v>41</v>
      </c>
      <c r="B328">
        <v>8</v>
      </c>
      <c r="C328" t="s">
        <v>22</v>
      </c>
      <c r="D328" t="s">
        <v>59</v>
      </c>
      <c r="E328">
        <v>13.682269096374499</v>
      </c>
      <c r="F328">
        <v>1182</v>
      </c>
      <c r="G328">
        <v>168</v>
      </c>
      <c r="N328" s="1"/>
      <c r="Q328" s="1"/>
    </row>
    <row r="329" spans="1:17" x14ac:dyDescent="0.2">
      <c r="A329" t="s">
        <v>0</v>
      </c>
      <c r="B329" t="s">
        <v>14</v>
      </c>
      <c r="C329" t="s">
        <v>15</v>
      </c>
      <c r="D329" t="s">
        <v>16</v>
      </c>
      <c r="E329" t="s">
        <v>17</v>
      </c>
      <c r="F329" t="s">
        <v>18</v>
      </c>
      <c r="G329" t="s">
        <v>19</v>
      </c>
      <c r="N329" s="1"/>
      <c r="Q329" s="1"/>
    </row>
    <row r="330" spans="1:17" x14ac:dyDescent="0.2">
      <c r="A330" t="s">
        <v>41</v>
      </c>
      <c r="B330">
        <v>10</v>
      </c>
      <c r="C330" t="s">
        <v>22</v>
      </c>
      <c r="D330" t="s">
        <v>58</v>
      </c>
      <c r="E330">
        <v>1.76702284812927</v>
      </c>
      <c r="F330">
        <v>1716</v>
      </c>
      <c r="G330">
        <v>107</v>
      </c>
      <c r="N330" s="1"/>
      <c r="Q330" s="1"/>
    </row>
    <row r="331" spans="1:17" x14ac:dyDescent="0.2">
      <c r="A331" t="s">
        <v>0</v>
      </c>
      <c r="B331" t="s">
        <v>14</v>
      </c>
      <c r="C331" t="s">
        <v>15</v>
      </c>
      <c r="D331" t="s">
        <v>16</v>
      </c>
      <c r="E331" t="s">
        <v>17</v>
      </c>
      <c r="F331" t="s">
        <v>18</v>
      </c>
      <c r="G331" t="s">
        <v>19</v>
      </c>
      <c r="N331" s="1"/>
      <c r="Q331" s="1"/>
    </row>
    <row r="332" spans="1:17" x14ac:dyDescent="0.2">
      <c r="A332" t="s">
        <v>41</v>
      </c>
      <c r="B332">
        <v>10</v>
      </c>
      <c r="C332" t="s">
        <v>22</v>
      </c>
      <c r="D332" t="s">
        <v>59</v>
      </c>
      <c r="E332">
        <v>11.125014066696099</v>
      </c>
      <c r="F332">
        <v>464</v>
      </c>
      <c r="G332">
        <v>26</v>
      </c>
      <c r="N332" s="1"/>
      <c r="Q332" s="1"/>
    </row>
    <row r="333" spans="1:17" x14ac:dyDescent="0.2">
      <c r="A333" t="s">
        <v>0</v>
      </c>
      <c r="B333" t="s">
        <v>14</v>
      </c>
      <c r="C333" t="s">
        <v>15</v>
      </c>
      <c r="D333" t="s">
        <v>16</v>
      </c>
      <c r="E333" t="s">
        <v>17</v>
      </c>
      <c r="F333" t="s">
        <v>18</v>
      </c>
      <c r="G333" t="s">
        <v>19</v>
      </c>
      <c r="N333" s="1"/>
      <c r="Q333" s="1"/>
    </row>
    <row r="334" spans="1:17" x14ac:dyDescent="0.2">
      <c r="A334" t="s">
        <v>41</v>
      </c>
      <c r="B334">
        <v>12</v>
      </c>
      <c r="C334" t="s">
        <v>22</v>
      </c>
      <c r="D334" t="s">
        <v>58</v>
      </c>
      <c r="E334">
        <v>0.56492710113525302</v>
      </c>
      <c r="F334">
        <v>455</v>
      </c>
      <c r="G334">
        <v>18</v>
      </c>
      <c r="N334" s="1"/>
      <c r="Q334" s="1"/>
    </row>
    <row r="335" spans="1:17" x14ac:dyDescent="0.2">
      <c r="A335" t="s">
        <v>0</v>
      </c>
      <c r="B335" t="s">
        <v>14</v>
      </c>
      <c r="C335" t="s">
        <v>15</v>
      </c>
      <c r="D335" t="s">
        <v>16</v>
      </c>
      <c r="E335" t="s">
        <v>17</v>
      </c>
      <c r="F335" t="s">
        <v>18</v>
      </c>
      <c r="G335" t="s">
        <v>19</v>
      </c>
      <c r="N335" s="1"/>
      <c r="Q335" s="1"/>
    </row>
    <row r="336" spans="1:17" x14ac:dyDescent="0.2">
      <c r="A336" t="s">
        <v>41</v>
      </c>
      <c r="B336">
        <v>12</v>
      </c>
      <c r="C336" t="s">
        <v>22</v>
      </c>
      <c r="D336" t="s">
        <v>59</v>
      </c>
      <c r="E336">
        <v>11.9368510246276</v>
      </c>
      <c r="F336">
        <v>373</v>
      </c>
      <c r="G336">
        <v>14</v>
      </c>
      <c r="N336" s="1"/>
      <c r="Q336" s="1"/>
    </row>
    <row r="337" spans="1:17" x14ac:dyDescent="0.2">
      <c r="A337" t="s">
        <v>0</v>
      </c>
      <c r="B337" t="s">
        <v>14</v>
      </c>
      <c r="C337" t="s">
        <v>15</v>
      </c>
      <c r="D337" t="s">
        <v>16</v>
      </c>
      <c r="E337" t="s">
        <v>17</v>
      </c>
      <c r="F337" t="s">
        <v>18</v>
      </c>
      <c r="G337" t="s">
        <v>19</v>
      </c>
      <c r="N337" s="1"/>
      <c r="Q337" s="1"/>
    </row>
    <row r="338" spans="1:17" x14ac:dyDescent="0.2">
      <c r="A338" t="s">
        <v>41</v>
      </c>
      <c r="B338">
        <v>300</v>
      </c>
      <c r="C338" t="s">
        <v>22</v>
      </c>
      <c r="D338" t="s">
        <v>58</v>
      </c>
      <c r="E338">
        <v>0.58756208419799805</v>
      </c>
      <c r="F338">
        <v>615</v>
      </c>
      <c r="G338">
        <v>13</v>
      </c>
      <c r="N338" s="1"/>
      <c r="Q338" s="1"/>
    </row>
    <row r="339" spans="1:17" x14ac:dyDescent="0.2">
      <c r="A339" t="s">
        <v>0</v>
      </c>
      <c r="B339" t="s">
        <v>14</v>
      </c>
      <c r="C339" t="s">
        <v>15</v>
      </c>
      <c r="D339" t="s">
        <v>16</v>
      </c>
      <c r="E339" t="s">
        <v>17</v>
      </c>
      <c r="F339" t="s">
        <v>18</v>
      </c>
      <c r="G339" t="s">
        <v>19</v>
      </c>
      <c r="N339" s="1"/>
      <c r="Q339" s="1"/>
    </row>
    <row r="340" spans="1:17" x14ac:dyDescent="0.2">
      <c r="A340" t="s">
        <v>41</v>
      </c>
      <c r="B340">
        <v>300</v>
      </c>
      <c r="C340" t="s">
        <v>22</v>
      </c>
      <c r="D340" t="s">
        <v>59</v>
      </c>
      <c r="E340">
        <v>11.530660152435299</v>
      </c>
      <c r="F340">
        <v>374</v>
      </c>
      <c r="G340">
        <v>12</v>
      </c>
      <c r="N340" s="1"/>
      <c r="Q340" s="1"/>
    </row>
    <row r="341" spans="1:17" x14ac:dyDescent="0.2">
      <c r="A341" t="s">
        <v>0</v>
      </c>
      <c r="B341" t="s">
        <v>14</v>
      </c>
      <c r="C341" t="s">
        <v>15</v>
      </c>
      <c r="D341" t="s">
        <v>16</v>
      </c>
      <c r="E341" t="s">
        <v>17</v>
      </c>
      <c r="F341" t="s">
        <v>18</v>
      </c>
      <c r="G341" t="s">
        <v>19</v>
      </c>
      <c r="N341" s="1"/>
      <c r="Q341" s="1"/>
    </row>
    <row r="342" spans="1:17" x14ac:dyDescent="0.2">
      <c r="A342" t="s">
        <v>42</v>
      </c>
      <c r="B342">
        <v>6</v>
      </c>
      <c r="C342" t="s">
        <v>22</v>
      </c>
      <c r="D342" t="s">
        <v>58</v>
      </c>
      <c r="E342">
        <v>6.0490250587463299</v>
      </c>
      <c r="F342">
        <v>3052</v>
      </c>
      <c r="G342">
        <v>549</v>
      </c>
      <c r="N342" s="1"/>
      <c r="Q342" s="1"/>
    </row>
    <row r="343" spans="1:17" x14ac:dyDescent="0.2">
      <c r="A343" t="s">
        <v>0</v>
      </c>
      <c r="B343" t="s">
        <v>14</v>
      </c>
      <c r="C343" t="s">
        <v>15</v>
      </c>
      <c r="D343" t="s">
        <v>16</v>
      </c>
      <c r="E343" t="s">
        <v>17</v>
      </c>
      <c r="F343" t="s">
        <v>18</v>
      </c>
      <c r="G343" t="s">
        <v>19</v>
      </c>
      <c r="N343" s="1"/>
      <c r="Q343" s="1"/>
    </row>
    <row r="344" spans="1:17" x14ac:dyDescent="0.2">
      <c r="A344" t="s">
        <v>42</v>
      </c>
      <c r="B344">
        <v>6</v>
      </c>
      <c r="C344" t="s">
        <v>22</v>
      </c>
      <c r="D344" t="s">
        <v>59</v>
      </c>
      <c r="E344">
        <v>13.526757001876801</v>
      </c>
      <c r="F344">
        <v>2232</v>
      </c>
      <c r="G344">
        <v>282</v>
      </c>
      <c r="N344" s="1"/>
      <c r="Q344" s="1"/>
    </row>
    <row r="345" spans="1:17" x14ac:dyDescent="0.2">
      <c r="A345" t="s">
        <v>0</v>
      </c>
      <c r="B345" t="s">
        <v>14</v>
      </c>
      <c r="C345" t="s">
        <v>15</v>
      </c>
      <c r="D345" t="s">
        <v>16</v>
      </c>
      <c r="E345" t="s">
        <v>17</v>
      </c>
      <c r="F345" t="s">
        <v>18</v>
      </c>
      <c r="G345" t="s">
        <v>19</v>
      </c>
      <c r="N345" s="1"/>
      <c r="Q345" s="1"/>
    </row>
    <row r="346" spans="1:17" x14ac:dyDescent="0.2">
      <c r="A346" t="s">
        <v>42</v>
      </c>
      <c r="B346">
        <v>8</v>
      </c>
      <c r="C346" t="s">
        <v>22</v>
      </c>
      <c r="D346" t="s">
        <v>58</v>
      </c>
      <c r="E346">
        <v>15.127844810485801</v>
      </c>
      <c r="F346">
        <v>7912</v>
      </c>
      <c r="G346">
        <v>983</v>
      </c>
      <c r="N346" s="1"/>
      <c r="Q346" s="1"/>
    </row>
    <row r="347" spans="1:17" x14ac:dyDescent="0.2">
      <c r="A347" t="s">
        <v>0</v>
      </c>
      <c r="B347" t="s">
        <v>14</v>
      </c>
      <c r="C347" t="s">
        <v>15</v>
      </c>
      <c r="D347" t="s">
        <v>16</v>
      </c>
      <c r="E347" t="s">
        <v>17</v>
      </c>
      <c r="F347" t="s">
        <v>18</v>
      </c>
      <c r="G347" t="s">
        <v>19</v>
      </c>
      <c r="N347" s="1"/>
      <c r="Q347" s="1"/>
    </row>
    <row r="348" spans="1:17" x14ac:dyDescent="0.2">
      <c r="A348" t="s">
        <v>42</v>
      </c>
      <c r="B348">
        <v>8</v>
      </c>
      <c r="C348" t="s">
        <v>22</v>
      </c>
      <c r="D348" t="s">
        <v>59</v>
      </c>
      <c r="E348">
        <v>20.733606100082302</v>
      </c>
      <c r="F348">
        <v>5125</v>
      </c>
      <c r="G348">
        <v>658</v>
      </c>
      <c r="N348" s="1"/>
      <c r="Q348" s="1"/>
    </row>
    <row r="349" spans="1:17" x14ac:dyDescent="0.2">
      <c r="A349" t="s">
        <v>0</v>
      </c>
      <c r="B349" t="s">
        <v>14</v>
      </c>
      <c r="C349" t="s">
        <v>15</v>
      </c>
      <c r="D349" t="s">
        <v>16</v>
      </c>
      <c r="E349" t="s">
        <v>17</v>
      </c>
      <c r="F349" t="s">
        <v>18</v>
      </c>
      <c r="G349" t="s">
        <v>19</v>
      </c>
      <c r="N349" s="1"/>
      <c r="Q349" s="1"/>
    </row>
    <row r="350" spans="1:17" x14ac:dyDescent="0.2">
      <c r="A350" t="s">
        <v>42</v>
      </c>
      <c r="B350">
        <v>10</v>
      </c>
      <c r="C350" t="s">
        <v>22</v>
      </c>
      <c r="D350" t="s">
        <v>58</v>
      </c>
      <c r="E350">
        <v>12.0152089595794</v>
      </c>
      <c r="F350">
        <v>8273</v>
      </c>
      <c r="G350">
        <v>602</v>
      </c>
      <c r="N350" s="1"/>
      <c r="Q350" s="1"/>
    </row>
    <row r="351" spans="1:17" x14ac:dyDescent="0.2">
      <c r="A351" t="s">
        <v>0</v>
      </c>
      <c r="B351" t="s">
        <v>14</v>
      </c>
      <c r="C351" t="s">
        <v>15</v>
      </c>
      <c r="D351" t="s">
        <v>16</v>
      </c>
      <c r="E351" t="s">
        <v>17</v>
      </c>
      <c r="F351" t="s">
        <v>18</v>
      </c>
      <c r="G351" t="s">
        <v>19</v>
      </c>
      <c r="N351" s="1"/>
      <c r="Q351" s="1"/>
    </row>
    <row r="352" spans="1:17" x14ac:dyDescent="0.2">
      <c r="A352" t="s">
        <v>42</v>
      </c>
      <c r="B352">
        <v>10</v>
      </c>
      <c r="C352" t="s">
        <v>22</v>
      </c>
      <c r="D352" t="s">
        <v>59</v>
      </c>
      <c r="E352">
        <v>18.470388174057</v>
      </c>
      <c r="F352">
        <v>3646</v>
      </c>
      <c r="G352">
        <v>354</v>
      </c>
      <c r="N352" s="1"/>
      <c r="Q352" s="1"/>
    </row>
    <row r="353" spans="1:17" x14ac:dyDescent="0.2">
      <c r="A353" t="s">
        <v>0</v>
      </c>
      <c r="B353" t="s">
        <v>14</v>
      </c>
      <c r="C353" t="s">
        <v>15</v>
      </c>
      <c r="D353" t="s">
        <v>16</v>
      </c>
      <c r="E353" t="s">
        <v>17</v>
      </c>
      <c r="F353" t="s">
        <v>18</v>
      </c>
      <c r="G353" t="s">
        <v>19</v>
      </c>
      <c r="N353" s="1"/>
      <c r="Q353" s="1"/>
    </row>
    <row r="354" spans="1:17" x14ac:dyDescent="0.2">
      <c r="A354" t="s">
        <v>42</v>
      </c>
      <c r="B354">
        <v>12</v>
      </c>
      <c r="C354" t="s">
        <v>22</v>
      </c>
      <c r="D354" t="s">
        <v>58</v>
      </c>
      <c r="E354">
        <v>4.3276028633117596</v>
      </c>
      <c r="F354">
        <v>2786</v>
      </c>
      <c r="G354">
        <v>171</v>
      </c>
      <c r="N354" s="1"/>
      <c r="Q354" s="1"/>
    </row>
    <row r="355" spans="1:17" x14ac:dyDescent="0.2">
      <c r="A355" t="s">
        <v>0</v>
      </c>
      <c r="B355" t="s">
        <v>14</v>
      </c>
      <c r="C355" t="s">
        <v>15</v>
      </c>
      <c r="D355" t="s">
        <v>16</v>
      </c>
      <c r="E355" t="s">
        <v>17</v>
      </c>
      <c r="F355" t="s">
        <v>18</v>
      </c>
      <c r="G355" t="s">
        <v>19</v>
      </c>
      <c r="N355" s="1"/>
      <c r="Q355" s="1"/>
    </row>
    <row r="356" spans="1:17" x14ac:dyDescent="0.2">
      <c r="A356" t="s">
        <v>42</v>
      </c>
      <c r="B356">
        <v>12</v>
      </c>
      <c r="C356" t="s">
        <v>22</v>
      </c>
      <c r="D356" t="s">
        <v>59</v>
      </c>
      <c r="E356">
        <v>14.826565027236899</v>
      </c>
      <c r="F356">
        <v>1447</v>
      </c>
      <c r="G356">
        <v>104</v>
      </c>
      <c r="N356" s="1"/>
      <c r="Q356" s="1"/>
    </row>
    <row r="357" spans="1:17" x14ac:dyDescent="0.2">
      <c r="A357" t="s">
        <v>0</v>
      </c>
      <c r="B357" t="s">
        <v>14</v>
      </c>
      <c r="C357" t="s">
        <v>15</v>
      </c>
      <c r="D357" t="s">
        <v>16</v>
      </c>
      <c r="E357" t="s">
        <v>17</v>
      </c>
      <c r="F357" t="s">
        <v>18</v>
      </c>
      <c r="G357" t="s">
        <v>19</v>
      </c>
      <c r="N357" s="1"/>
      <c r="Q357" s="1"/>
    </row>
    <row r="358" spans="1:17" x14ac:dyDescent="0.2">
      <c r="A358" t="s">
        <v>42</v>
      </c>
      <c r="B358">
        <v>300</v>
      </c>
      <c r="C358" t="s">
        <v>22</v>
      </c>
      <c r="D358" t="s">
        <v>58</v>
      </c>
      <c r="E358">
        <v>7.0947840213775599</v>
      </c>
      <c r="F358">
        <v>6558</v>
      </c>
      <c r="G358">
        <v>287</v>
      </c>
      <c r="N358" s="1"/>
      <c r="Q358" s="1"/>
    </row>
    <row r="359" spans="1:17" x14ac:dyDescent="0.2">
      <c r="A359" t="s">
        <v>0</v>
      </c>
      <c r="B359" t="s">
        <v>14</v>
      </c>
      <c r="C359" t="s">
        <v>15</v>
      </c>
      <c r="D359" t="s">
        <v>16</v>
      </c>
      <c r="E359" t="s">
        <v>17</v>
      </c>
      <c r="F359" t="s">
        <v>18</v>
      </c>
      <c r="G359" t="s">
        <v>19</v>
      </c>
      <c r="N359" s="1"/>
      <c r="Q359" s="1"/>
    </row>
    <row r="360" spans="1:17" x14ac:dyDescent="0.2">
      <c r="A360" t="s">
        <v>42</v>
      </c>
      <c r="B360">
        <v>300</v>
      </c>
      <c r="C360" t="s">
        <v>22</v>
      </c>
      <c r="D360" t="s">
        <v>59</v>
      </c>
      <c r="E360">
        <v>19.3624989986419</v>
      </c>
      <c r="F360">
        <v>4719</v>
      </c>
      <c r="G360">
        <v>239</v>
      </c>
      <c r="N360" s="1"/>
      <c r="Q360" s="1"/>
    </row>
    <row r="361" spans="1:17" x14ac:dyDescent="0.2">
      <c r="A361" t="s">
        <v>0</v>
      </c>
      <c r="B361" t="s">
        <v>14</v>
      </c>
      <c r="C361" t="s">
        <v>15</v>
      </c>
      <c r="D361" t="s">
        <v>16</v>
      </c>
      <c r="E361" t="s">
        <v>17</v>
      </c>
      <c r="F361" t="s">
        <v>18</v>
      </c>
      <c r="G361" t="s">
        <v>19</v>
      </c>
      <c r="N361" s="1"/>
      <c r="Q361" s="1"/>
    </row>
    <row r="362" spans="1:17" x14ac:dyDescent="0.2">
      <c r="A362" t="s">
        <v>43</v>
      </c>
      <c r="B362">
        <v>6</v>
      </c>
      <c r="C362" t="s">
        <v>22</v>
      </c>
      <c r="D362" t="s">
        <v>58</v>
      </c>
      <c r="E362">
        <v>15.0812449455261</v>
      </c>
      <c r="F362">
        <v>8177</v>
      </c>
      <c r="G362">
        <v>931</v>
      </c>
      <c r="N362" s="1"/>
      <c r="Q362" s="1"/>
    </row>
    <row r="363" spans="1:17" x14ac:dyDescent="0.2">
      <c r="A363" t="s">
        <v>0</v>
      </c>
      <c r="B363" t="s">
        <v>14</v>
      </c>
      <c r="C363" t="s">
        <v>15</v>
      </c>
      <c r="D363" t="s">
        <v>16</v>
      </c>
      <c r="E363" t="s">
        <v>17</v>
      </c>
      <c r="F363" t="s">
        <v>18</v>
      </c>
      <c r="G363" t="s">
        <v>19</v>
      </c>
      <c r="N363" s="1"/>
      <c r="Q363" s="1"/>
    </row>
    <row r="364" spans="1:17" x14ac:dyDescent="0.2">
      <c r="A364" t="s">
        <v>43</v>
      </c>
      <c r="B364">
        <v>6</v>
      </c>
      <c r="C364" t="s">
        <v>22</v>
      </c>
      <c r="D364" t="s">
        <v>59</v>
      </c>
      <c r="E364">
        <v>20.938108921051001</v>
      </c>
      <c r="F364">
        <v>4948</v>
      </c>
      <c r="G364">
        <v>620</v>
      </c>
      <c r="N364" s="1"/>
      <c r="Q364" s="1"/>
    </row>
    <row r="365" spans="1:17" x14ac:dyDescent="0.2">
      <c r="A365" t="s">
        <v>0</v>
      </c>
      <c r="B365" t="s">
        <v>14</v>
      </c>
      <c r="C365" t="s">
        <v>15</v>
      </c>
      <c r="D365" t="s">
        <v>16</v>
      </c>
      <c r="E365" t="s">
        <v>17</v>
      </c>
      <c r="F365" t="s">
        <v>18</v>
      </c>
      <c r="G365" t="s">
        <v>19</v>
      </c>
      <c r="N365" s="1"/>
      <c r="Q365" s="1"/>
    </row>
    <row r="366" spans="1:17" x14ac:dyDescent="0.2">
      <c r="A366" t="s">
        <v>43</v>
      </c>
      <c r="B366">
        <v>8</v>
      </c>
      <c r="C366" t="s">
        <v>22</v>
      </c>
      <c r="D366" t="s">
        <v>58</v>
      </c>
      <c r="E366">
        <v>76.985270023345905</v>
      </c>
      <c r="F366">
        <v>30945</v>
      </c>
      <c r="G366">
        <v>2192</v>
      </c>
      <c r="N366" s="1"/>
      <c r="Q366" s="1"/>
    </row>
    <row r="367" spans="1:17" x14ac:dyDescent="0.2">
      <c r="A367" t="s">
        <v>0</v>
      </c>
      <c r="B367" t="s">
        <v>14</v>
      </c>
      <c r="C367" t="s">
        <v>15</v>
      </c>
      <c r="D367" t="s">
        <v>16</v>
      </c>
      <c r="E367" t="s">
        <v>17</v>
      </c>
      <c r="F367" t="s">
        <v>18</v>
      </c>
      <c r="G367" t="s">
        <v>19</v>
      </c>
      <c r="N367" s="1"/>
      <c r="Q367" s="1"/>
    </row>
    <row r="368" spans="1:17" x14ac:dyDescent="0.2">
      <c r="A368" t="s">
        <v>43</v>
      </c>
      <c r="B368">
        <v>8</v>
      </c>
      <c r="C368" t="s">
        <v>22</v>
      </c>
      <c r="D368" t="s">
        <v>59</v>
      </c>
      <c r="E368">
        <v>77.926165103912297</v>
      </c>
      <c r="F368">
        <v>24080</v>
      </c>
      <c r="G368">
        <v>1823</v>
      </c>
      <c r="N368" s="1"/>
      <c r="Q368" s="1"/>
    </row>
    <row r="369" spans="1:17" x14ac:dyDescent="0.2">
      <c r="A369" t="s">
        <v>0</v>
      </c>
      <c r="B369" t="s">
        <v>14</v>
      </c>
      <c r="C369" t="s">
        <v>15</v>
      </c>
      <c r="D369" t="s">
        <v>16</v>
      </c>
      <c r="E369" t="s">
        <v>17</v>
      </c>
      <c r="F369" t="s">
        <v>18</v>
      </c>
      <c r="G369" t="s">
        <v>19</v>
      </c>
      <c r="N369" s="1"/>
      <c r="Q369" s="1"/>
    </row>
    <row r="370" spans="1:17" x14ac:dyDescent="0.2">
      <c r="A370" t="s">
        <v>43</v>
      </c>
      <c r="B370">
        <v>10</v>
      </c>
      <c r="C370" t="s">
        <v>22</v>
      </c>
      <c r="D370" t="s">
        <v>58</v>
      </c>
      <c r="E370">
        <v>118.081831932067</v>
      </c>
      <c r="F370">
        <v>64979</v>
      </c>
      <c r="G370">
        <v>1907</v>
      </c>
      <c r="N370" s="1"/>
      <c r="Q370" s="1"/>
    </row>
    <row r="371" spans="1:17" x14ac:dyDescent="0.2">
      <c r="A371" t="s">
        <v>0</v>
      </c>
      <c r="B371" t="s">
        <v>14</v>
      </c>
      <c r="C371" t="s">
        <v>15</v>
      </c>
      <c r="D371" t="s">
        <v>16</v>
      </c>
      <c r="E371" t="s">
        <v>17</v>
      </c>
      <c r="F371" t="s">
        <v>18</v>
      </c>
      <c r="G371" t="s">
        <v>19</v>
      </c>
      <c r="N371" s="1"/>
      <c r="Q371" s="1"/>
    </row>
    <row r="372" spans="1:17" x14ac:dyDescent="0.2">
      <c r="A372" t="s">
        <v>43</v>
      </c>
      <c r="B372">
        <v>10</v>
      </c>
      <c r="C372" t="s">
        <v>22</v>
      </c>
      <c r="D372" t="s">
        <v>59</v>
      </c>
      <c r="E372">
        <v>66.369973897933903</v>
      </c>
      <c r="F372">
        <v>36792</v>
      </c>
      <c r="G372">
        <v>1113</v>
      </c>
      <c r="N372" s="1"/>
      <c r="Q372" s="1"/>
    </row>
    <row r="373" spans="1:17" x14ac:dyDescent="0.2">
      <c r="A373" t="s">
        <v>0</v>
      </c>
      <c r="B373" t="s">
        <v>14</v>
      </c>
      <c r="C373" t="s">
        <v>15</v>
      </c>
      <c r="D373" t="s">
        <v>16</v>
      </c>
      <c r="E373" t="s">
        <v>17</v>
      </c>
      <c r="F373" t="s">
        <v>18</v>
      </c>
      <c r="G373" t="s">
        <v>19</v>
      </c>
      <c r="N373" s="1"/>
      <c r="Q373" s="1"/>
    </row>
    <row r="374" spans="1:17" x14ac:dyDescent="0.2">
      <c r="A374" t="s">
        <v>43</v>
      </c>
      <c r="B374">
        <v>12</v>
      </c>
      <c r="C374" t="s">
        <v>22</v>
      </c>
      <c r="D374" t="s">
        <v>58</v>
      </c>
      <c r="E374">
        <v>9.68116903305053</v>
      </c>
      <c r="F374">
        <v>8423</v>
      </c>
      <c r="G374">
        <v>196</v>
      </c>
      <c r="N374" s="1"/>
      <c r="Q374" s="1"/>
    </row>
    <row r="375" spans="1:17" x14ac:dyDescent="0.2">
      <c r="A375" t="s">
        <v>0</v>
      </c>
      <c r="B375" t="s">
        <v>14</v>
      </c>
      <c r="C375" t="s">
        <v>15</v>
      </c>
      <c r="D375" t="s">
        <v>16</v>
      </c>
      <c r="E375" t="s">
        <v>17</v>
      </c>
      <c r="F375" t="s">
        <v>18</v>
      </c>
      <c r="G375" t="s">
        <v>19</v>
      </c>
      <c r="N375" s="1"/>
      <c r="Q375" s="1"/>
    </row>
    <row r="376" spans="1:17" x14ac:dyDescent="0.2">
      <c r="A376" t="s">
        <v>43</v>
      </c>
      <c r="B376">
        <v>12</v>
      </c>
      <c r="C376" t="s">
        <v>22</v>
      </c>
      <c r="D376" t="s">
        <v>59</v>
      </c>
      <c r="E376">
        <v>18.184984922409001</v>
      </c>
      <c r="F376">
        <v>3710</v>
      </c>
      <c r="G376">
        <v>117</v>
      </c>
      <c r="N376" s="1"/>
      <c r="Q376" s="1"/>
    </row>
    <row r="377" spans="1:17" x14ac:dyDescent="0.2">
      <c r="A377" t="s">
        <v>0</v>
      </c>
      <c r="B377" t="s">
        <v>14</v>
      </c>
      <c r="C377" t="s">
        <v>15</v>
      </c>
      <c r="D377" t="s">
        <v>16</v>
      </c>
      <c r="E377" t="s">
        <v>17</v>
      </c>
      <c r="F377" t="s">
        <v>18</v>
      </c>
      <c r="G377" t="s">
        <v>19</v>
      </c>
      <c r="N377" s="1"/>
      <c r="Q377" s="1"/>
    </row>
    <row r="378" spans="1:17" x14ac:dyDescent="0.2">
      <c r="A378" t="s">
        <v>43</v>
      </c>
      <c r="B378">
        <v>300</v>
      </c>
      <c r="C378" t="s">
        <v>22</v>
      </c>
      <c r="D378" t="s">
        <v>58</v>
      </c>
      <c r="E378">
        <v>10.651438951492301</v>
      </c>
      <c r="F378">
        <v>8604</v>
      </c>
      <c r="G378">
        <v>225</v>
      </c>
      <c r="N378" s="1"/>
      <c r="Q378" s="1"/>
    </row>
    <row r="379" spans="1:17" x14ac:dyDescent="0.2">
      <c r="A379" t="s">
        <v>0</v>
      </c>
      <c r="B379" t="s">
        <v>14</v>
      </c>
      <c r="C379" t="s">
        <v>15</v>
      </c>
      <c r="D379" t="s">
        <v>16</v>
      </c>
      <c r="E379" t="s">
        <v>17</v>
      </c>
      <c r="F379" t="s">
        <v>18</v>
      </c>
      <c r="G379" t="s">
        <v>19</v>
      </c>
      <c r="N379" s="1"/>
      <c r="Q379" s="1"/>
    </row>
    <row r="380" spans="1:17" x14ac:dyDescent="0.2">
      <c r="A380" t="s">
        <v>43</v>
      </c>
      <c r="B380">
        <v>300</v>
      </c>
      <c r="C380" t="s">
        <v>22</v>
      </c>
      <c r="D380" t="s">
        <v>59</v>
      </c>
      <c r="E380">
        <v>31.339240074157701</v>
      </c>
      <c r="F380">
        <v>10641</v>
      </c>
      <c r="G380">
        <v>196</v>
      </c>
      <c r="N380" s="1"/>
      <c r="Q380" s="1"/>
    </row>
    <row r="381" spans="1:17" x14ac:dyDescent="0.2">
      <c r="A381" t="s">
        <v>0</v>
      </c>
      <c r="B381" t="s">
        <v>14</v>
      </c>
      <c r="C381" t="s">
        <v>15</v>
      </c>
      <c r="D381" t="s">
        <v>16</v>
      </c>
      <c r="E381" t="s">
        <v>17</v>
      </c>
      <c r="F381" t="s">
        <v>18</v>
      </c>
      <c r="G381" t="s">
        <v>19</v>
      </c>
      <c r="N381" s="1"/>
      <c r="Q381" s="1"/>
    </row>
    <row r="382" spans="1:17" x14ac:dyDescent="0.2">
      <c r="A382" t="s">
        <v>57</v>
      </c>
      <c r="B382">
        <v>6</v>
      </c>
      <c r="C382" t="s">
        <v>22</v>
      </c>
      <c r="D382" t="s">
        <v>58</v>
      </c>
      <c r="E382">
        <v>7.5002939701080296</v>
      </c>
      <c r="F382">
        <v>3589</v>
      </c>
      <c r="G382">
        <v>503</v>
      </c>
      <c r="N382" s="1"/>
      <c r="Q382" s="1"/>
    </row>
    <row r="383" spans="1:17" x14ac:dyDescent="0.2">
      <c r="A383" t="s">
        <v>0</v>
      </c>
      <c r="B383" t="s">
        <v>14</v>
      </c>
      <c r="C383" t="s">
        <v>15</v>
      </c>
      <c r="D383" t="s">
        <v>16</v>
      </c>
      <c r="E383" t="s">
        <v>17</v>
      </c>
      <c r="F383" t="s">
        <v>18</v>
      </c>
      <c r="G383" t="s">
        <v>19</v>
      </c>
      <c r="N383" s="1"/>
      <c r="Q383" s="1"/>
    </row>
    <row r="384" spans="1:17" x14ac:dyDescent="0.2">
      <c r="A384" t="s">
        <v>57</v>
      </c>
      <c r="B384">
        <v>6</v>
      </c>
      <c r="C384" t="s">
        <v>22</v>
      </c>
      <c r="D384" t="s">
        <v>59</v>
      </c>
      <c r="E384">
        <v>15.052365064620901</v>
      </c>
      <c r="F384">
        <v>2227</v>
      </c>
      <c r="G384">
        <v>234</v>
      </c>
      <c r="N384" s="1"/>
      <c r="Q384" s="1"/>
    </row>
    <row r="385" spans="1:17" x14ac:dyDescent="0.2">
      <c r="A385" t="s">
        <v>0</v>
      </c>
      <c r="B385" t="s">
        <v>14</v>
      </c>
      <c r="C385" t="s">
        <v>15</v>
      </c>
      <c r="D385" t="s">
        <v>16</v>
      </c>
      <c r="E385" t="s">
        <v>17</v>
      </c>
      <c r="F385" t="s">
        <v>18</v>
      </c>
      <c r="G385" t="s">
        <v>19</v>
      </c>
      <c r="N385" s="1"/>
      <c r="Q385" s="1"/>
    </row>
    <row r="386" spans="1:17" x14ac:dyDescent="0.2">
      <c r="A386" t="s">
        <v>57</v>
      </c>
      <c r="B386">
        <v>8</v>
      </c>
      <c r="C386" t="s">
        <v>22</v>
      </c>
      <c r="D386" t="s">
        <v>58</v>
      </c>
      <c r="E386">
        <v>11.4402408599853</v>
      </c>
      <c r="F386">
        <v>5257</v>
      </c>
      <c r="G386">
        <v>687</v>
      </c>
      <c r="N386" s="1"/>
      <c r="Q386" s="1"/>
    </row>
    <row r="387" spans="1:17" x14ac:dyDescent="0.2">
      <c r="A387" t="s">
        <v>0</v>
      </c>
      <c r="B387" t="s">
        <v>14</v>
      </c>
      <c r="C387" t="s">
        <v>15</v>
      </c>
      <c r="D387" t="s">
        <v>16</v>
      </c>
      <c r="E387" t="s">
        <v>17</v>
      </c>
      <c r="F387" t="s">
        <v>18</v>
      </c>
      <c r="G387" t="s">
        <v>19</v>
      </c>
      <c r="N387" s="1"/>
      <c r="Q387" s="1"/>
    </row>
    <row r="388" spans="1:17" x14ac:dyDescent="0.2">
      <c r="A388" t="s">
        <v>57</v>
      </c>
      <c r="B388">
        <v>8</v>
      </c>
      <c r="C388" t="s">
        <v>22</v>
      </c>
      <c r="D388" t="s">
        <v>59</v>
      </c>
      <c r="E388">
        <v>17.120454072952199</v>
      </c>
      <c r="F388">
        <v>3190</v>
      </c>
      <c r="G388">
        <v>300</v>
      </c>
      <c r="N388" s="1"/>
      <c r="Q388" s="1"/>
    </row>
    <row r="389" spans="1:17" x14ac:dyDescent="0.2">
      <c r="A389" t="s">
        <v>0</v>
      </c>
      <c r="B389" t="s">
        <v>14</v>
      </c>
      <c r="C389" t="s">
        <v>15</v>
      </c>
      <c r="D389" t="s">
        <v>16</v>
      </c>
      <c r="E389" t="s">
        <v>17</v>
      </c>
      <c r="F389" t="s">
        <v>18</v>
      </c>
      <c r="G389" t="s">
        <v>19</v>
      </c>
      <c r="N389" s="1"/>
      <c r="Q389" s="1"/>
    </row>
    <row r="390" spans="1:17" x14ac:dyDescent="0.2">
      <c r="A390" t="s">
        <v>57</v>
      </c>
      <c r="B390">
        <v>10</v>
      </c>
      <c r="C390" t="s">
        <v>22</v>
      </c>
      <c r="D390" t="s">
        <v>58</v>
      </c>
      <c r="E390">
        <v>4.9574899673461896</v>
      </c>
      <c r="F390">
        <v>2097</v>
      </c>
      <c r="G390">
        <v>380</v>
      </c>
      <c r="N390" s="1"/>
      <c r="Q390" s="1"/>
    </row>
    <row r="391" spans="1:17" x14ac:dyDescent="0.2">
      <c r="A391" t="s">
        <v>0</v>
      </c>
      <c r="B391" t="s">
        <v>14</v>
      </c>
      <c r="C391" t="s">
        <v>15</v>
      </c>
      <c r="D391" t="s">
        <v>16</v>
      </c>
      <c r="E391" t="s">
        <v>17</v>
      </c>
      <c r="F391" t="s">
        <v>18</v>
      </c>
      <c r="G391" t="s">
        <v>19</v>
      </c>
      <c r="N391" s="1"/>
      <c r="Q391" s="1"/>
    </row>
    <row r="392" spans="1:17" x14ac:dyDescent="0.2">
      <c r="A392" t="s">
        <v>57</v>
      </c>
      <c r="B392">
        <v>10</v>
      </c>
      <c r="C392" t="s">
        <v>22</v>
      </c>
      <c r="D392" t="s">
        <v>59</v>
      </c>
      <c r="E392">
        <v>14.245360851287799</v>
      </c>
      <c r="F392">
        <v>1215</v>
      </c>
      <c r="G392">
        <v>229</v>
      </c>
      <c r="N392" s="1"/>
      <c r="Q392" s="1"/>
    </row>
    <row r="393" spans="1:17" x14ac:dyDescent="0.2">
      <c r="A393" t="s">
        <v>0</v>
      </c>
      <c r="B393" t="s">
        <v>14</v>
      </c>
      <c r="C393" t="s">
        <v>15</v>
      </c>
      <c r="D393" t="s">
        <v>16</v>
      </c>
      <c r="E393" t="s">
        <v>17</v>
      </c>
      <c r="F393" t="s">
        <v>18</v>
      </c>
      <c r="G393" t="s">
        <v>19</v>
      </c>
      <c r="N393" s="1"/>
      <c r="Q393" s="1"/>
    </row>
    <row r="394" spans="1:17" x14ac:dyDescent="0.2">
      <c r="A394" t="s">
        <v>57</v>
      </c>
      <c r="B394">
        <v>12</v>
      </c>
      <c r="C394" t="s">
        <v>22</v>
      </c>
      <c r="D394" t="s">
        <v>58</v>
      </c>
      <c r="E394">
        <v>5.3498880863189697</v>
      </c>
      <c r="F394">
        <v>3815</v>
      </c>
      <c r="G394">
        <v>207</v>
      </c>
      <c r="N394" s="1"/>
      <c r="Q394" s="1"/>
    </row>
    <row r="395" spans="1:17" x14ac:dyDescent="0.2">
      <c r="A395" t="s">
        <v>0</v>
      </c>
      <c r="B395" t="s">
        <v>14</v>
      </c>
      <c r="C395" t="s">
        <v>15</v>
      </c>
      <c r="D395" t="s">
        <v>16</v>
      </c>
      <c r="E395" t="s">
        <v>17</v>
      </c>
      <c r="F395" t="s">
        <v>18</v>
      </c>
      <c r="G395" t="s">
        <v>19</v>
      </c>
      <c r="N395" s="1"/>
      <c r="Q395" s="1"/>
    </row>
    <row r="396" spans="1:17" x14ac:dyDescent="0.2">
      <c r="A396" t="s">
        <v>57</v>
      </c>
      <c r="B396">
        <v>12</v>
      </c>
      <c r="C396" t="s">
        <v>22</v>
      </c>
      <c r="D396" t="s">
        <v>59</v>
      </c>
      <c r="E396">
        <v>14.559622049331599</v>
      </c>
      <c r="F396">
        <v>1690</v>
      </c>
      <c r="G396">
        <v>84</v>
      </c>
      <c r="N396" s="1"/>
      <c r="Q396" s="1"/>
    </row>
    <row r="397" spans="1:17" x14ac:dyDescent="0.2">
      <c r="A397" t="s">
        <v>0</v>
      </c>
      <c r="B397" t="s">
        <v>14</v>
      </c>
      <c r="C397" t="s">
        <v>15</v>
      </c>
      <c r="D397" t="s">
        <v>16</v>
      </c>
      <c r="E397" t="s">
        <v>17</v>
      </c>
      <c r="F397" t="s">
        <v>18</v>
      </c>
      <c r="G397" t="s">
        <v>19</v>
      </c>
      <c r="N397" s="1"/>
      <c r="Q397" s="1"/>
    </row>
    <row r="398" spans="1:17" x14ac:dyDescent="0.2">
      <c r="A398" t="s">
        <v>57</v>
      </c>
      <c r="B398">
        <v>300</v>
      </c>
      <c r="C398" t="s">
        <v>22</v>
      </c>
      <c r="D398" t="s">
        <v>58</v>
      </c>
      <c r="E398">
        <v>15.1973040103912</v>
      </c>
      <c r="F398">
        <v>8326</v>
      </c>
      <c r="G398">
        <v>336</v>
      </c>
      <c r="N398" s="1"/>
      <c r="Q398" s="1"/>
    </row>
    <row r="399" spans="1:17" x14ac:dyDescent="0.2">
      <c r="A399" t="s">
        <v>0</v>
      </c>
      <c r="B399" t="s">
        <v>14</v>
      </c>
      <c r="C399" t="s">
        <v>15</v>
      </c>
      <c r="D399" t="s">
        <v>16</v>
      </c>
      <c r="E399" t="s">
        <v>17</v>
      </c>
      <c r="F399" t="s">
        <v>18</v>
      </c>
      <c r="G399" t="s">
        <v>19</v>
      </c>
      <c r="N399" s="1"/>
      <c r="Q399" s="1"/>
    </row>
    <row r="400" spans="1:17" x14ac:dyDescent="0.2">
      <c r="A400" t="s">
        <v>57</v>
      </c>
      <c r="B400">
        <v>300</v>
      </c>
      <c r="C400" t="s">
        <v>22</v>
      </c>
      <c r="D400" t="s">
        <v>59</v>
      </c>
      <c r="E400">
        <v>35.886610984802203</v>
      </c>
      <c r="F400">
        <v>9676</v>
      </c>
      <c r="G400">
        <v>319</v>
      </c>
      <c r="N400" s="1"/>
      <c r="Q400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EC47-8998-EF45-86F3-E6CB7E9D0E46}">
  <sheetPr filterMode="1"/>
  <dimension ref="A1:Z400"/>
  <sheetViews>
    <sheetView workbookViewId="0">
      <selection activeCell="N21" sqref="N21"/>
    </sheetView>
  </sheetViews>
  <sheetFormatPr baseColWidth="10" defaultRowHeight="16" x14ac:dyDescent="0.2"/>
  <cols>
    <col min="6" max="6" width="10.1640625" bestFit="1" customWidth="1"/>
    <col min="7" max="7" width="5.1640625" bestFit="1" customWidth="1"/>
    <col min="23" max="23" width="11.1640625" bestFit="1" customWidth="1"/>
    <col min="24" max="24" width="12.83203125" bestFit="1" customWidth="1"/>
    <col min="26" max="26" width="43.5" bestFit="1" customWidth="1"/>
  </cols>
  <sheetData>
    <row r="1" spans="1:26" x14ac:dyDescent="0.2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10</v>
      </c>
      <c r="I1" t="s">
        <v>45</v>
      </c>
      <c r="K1" t="s">
        <v>2</v>
      </c>
    </row>
    <row r="2" spans="1:26" hidden="1" x14ac:dyDescent="0.2">
      <c r="A2" t="s">
        <v>46</v>
      </c>
      <c r="B2">
        <v>6</v>
      </c>
      <c r="C2" t="s">
        <v>21</v>
      </c>
      <c r="D2" t="s">
        <v>1</v>
      </c>
      <c r="E2">
        <v>64.878381013870197</v>
      </c>
      <c r="F2">
        <v>18731</v>
      </c>
      <c r="G2">
        <v>2963</v>
      </c>
      <c r="K2" t="s">
        <v>1</v>
      </c>
      <c r="N2" t="s">
        <v>60</v>
      </c>
      <c r="Q2" t="s">
        <v>61</v>
      </c>
      <c r="T2" t="s">
        <v>3</v>
      </c>
      <c r="W2" t="s">
        <v>12</v>
      </c>
      <c r="X2" t="s">
        <v>8</v>
      </c>
      <c r="Z2" t="s">
        <v>13</v>
      </c>
    </row>
    <row r="3" spans="1:26" hidden="1" x14ac:dyDescent="0.2">
      <c r="A3" t="s">
        <v>0</v>
      </c>
      <c r="B3" t="s">
        <v>14</v>
      </c>
      <c r="C3" t="s">
        <v>15</v>
      </c>
      <c r="D3" t="s">
        <v>16</v>
      </c>
      <c r="E3" t="s">
        <v>17</v>
      </c>
      <c r="I3" t="s">
        <v>0</v>
      </c>
      <c r="J3" t="s">
        <v>9</v>
      </c>
      <c r="K3" t="s">
        <v>4</v>
      </c>
      <c r="L3" t="s">
        <v>5</v>
      </c>
      <c r="M3" t="s">
        <v>6</v>
      </c>
      <c r="N3" t="s">
        <v>4</v>
      </c>
      <c r="O3" t="s">
        <v>5</v>
      </c>
      <c r="P3" t="s">
        <v>6</v>
      </c>
      <c r="Q3" t="s">
        <v>4</v>
      </c>
      <c r="R3" t="s">
        <v>5</v>
      </c>
      <c r="S3" t="s">
        <v>6</v>
      </c>
      <c r="T3" t="s">
        <v>7</v>
      </c>
      <c r="U3" t="s">
        <v>5</v>
      </c>
    </row>
    <row r="4" spans="1:26" hidden="1" x14ac:dyDescent="0.2">
      <c r="A4" t="s">
        <v>46</v>
      </c>
      <c r="B4">
        <v>6</v>
      </c>
      <c r="C4" t="s">
        <v>22</v>
      </c>
      <c r="D4" t="s">
        <v>23</v>
      </c>
      <c r="E4">
        <v>600.01455593109097</v>
      </c>
      <c r="F4">
        <v>95</v>
      </c>
      <c r="I4" t="str">
        <f>CONCATENATE($I$1,"1")</f>
        <v>pard400_1</v>
      </c>
      <c r="J4">
        <v>6</v>
      </c>
      <c r="K4" s="1">
        <f t="shared" ref="K4:K35" si="0">SUMIFS(E:E,D:D,"OA",B:B,J4,A:A,I4)</f>
        <v>64.878381013870197</v>
      </c>
      <c r="L4">
        <f t="shared" ref="L4:L35" si="1">SUMIFS(F:F,A:A,I4,B:B,J4,D:D,"OA")</f>
        <v>18731</v>
      </c>
      <c r="M4">
        <f t="shared" ref="M4:M35" si="2">SUMIFS(G:G,D:D,"OA",A:A,I4,B:B,J4)</f>
        <v>2963</v>
      </c>
      <c r="N4" s="1">
        <f>SUMIFS(E:E,D:D,"OA Kelley",B:B,J4,A:A,I4)</f>
        <v>69.910745860000006</v>
      </c>
      <c r="O4">
        <f>SUMIFS(F:F,A:A,I4,B:B,J4,D:D,"OA Kelley")</f>
        <v>17430</v>
      </c>
      <c r="P4">
        <f>SUMIFS(G:G,D:D,"OA Kelley",A:A,I4,B:B,J4)</f>
        <v>2670</v>
      </c>
      <c r="Q4" s="1">
        <f>SUMIFS(E:E,D:D,"OA Kelley 50",B:B,J4,A:A,I4)</f>
        <v>86.003006940000006</v>
      </c>
      <c r="R4">
        <f>SUMIFS(F:F,A:A,I4,B:B,J4,D:D,"OA Kelley 50")</f>
        <v>17793</v>
      </c>
      <c r="S4">
        <f>SUMIFS(G:G,D:D,"OA Kelley 50",A:A,I4,B:B,J4)</f>
        <v>2320</v>
      </c>
      <c r="T4">
        <f t="shared" ref="T4:T35" si="3">SUMIFS(E:E,A:A,I4,B:B,J4,D:D,"CPLEX MISOCP")</f>
        <v>600.01455593109097</v>
      </c>
      <c r="U4">
        <f t="shared" ref="U4:U35" si="4">SUMIFS(F:F,A:A,I4,B:B,J4,D:D,"CPLEX MISOCP")</f>
        <v>95</v>
      </c>
      <c r="W4">
        <f t="shared" ref="W4:W35" si="5">COUNTIFS(D:D,"OA",B:B,J4,A:A,I4)</f>
        <v>1</v>
      </c>
      <c r="X4">
        <f t="shared" ref="X4:X35" si="6">COUNTIFS(D:D,"CPLEX MISOCP",B:B,J4,A:A,I4)</f>
        <v>1</v>
      </c>
      <c r="Z4" t="str">
        <f>CONCATENATE(I4," &amp; ",J4, " &amp; ", ROUND(K4,2), " &amp; ", L4, " &amp; ", M4, " &amp; ",  ROUND(N4,2), " &amp; ", O4, " &amp; ", P4, " &amp; ", ROUND(Q4,2), " &amp; ", R4, " &amp; ", S4, " &amp; ",  ROUND(T4,2), " &amp; ", U4, "\\")</f>
        <v>pard400_1 &amp; 6 &amp; 64.88 &amp; 18731 &amp; 2963 &amp; 69.91 &amp; 17430 &amp; 2670 &amp; 86 &amp; 17793 &amp; 2320 &amp; 600.01 &amp; 95\\</v>
      </c>
    </row>
    <row r="5" spans="1:26" hidden="1" x14ac:dyDescent="0.2">
      <c r="A5" t="s">
        <v>0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I5" t="str">
        <f t="shared" ref="I5:I8" si="7">CONCATENATE($I$1,"1")</f>
        <v>pard400_1</v>
      </c>
      <c r="J5">
        <v>8</v>
      </c>
      <c r="K5" s="1">
        <f t="shared" si="0"/>
        <v>364.538505077362</v>
      </c>
      <c r="L5">
        <f t="shared" si="1"/>
        <v>54417</v>
      </c>
      <c r="M5">
        <f t="shared" si="2"/>
        <v>5400</v>
      </c>
      <c r="N5" s="1">
        <f t="shared" ref="N5:N53" si="8">SUMIFS(E:E,D:D,"OA Kelley",B:B,J5,A:A,I5)</f>
        <v>283.65485910000001</v>
      </c>
      <c r="O5">
        <f t="shared" ref="O5:O53" si="9">SUMIFS(F:F,A:A,I5,B:B,J5,D:D,"OA Kelley")</f>
        <v>66125</v>
      </c>
      <c r="P5">
        <f t="shared" ref="P5:P53" si="10">SUMIFS(G:G,D:D,"OA Kelley",A:A,I5,B:B,J5)</f>
        <v>4734</v>
      </c>
      <c r="Q5" s="1">
        <f t="shared" ref="Q5:Q53" si="11">SUMIFS(E:E,D:D,"OA Kelley 50",B:B,J5,A:A,I5)</f>
        <v>232.71584609999999</v>
      </c>
      <c r="R5">
        <f t="shared" ref="R5:R53" si="12">SUMIFS(F:F,A:A,I5,B:B,J5,D:D,"OA Kelley 50")</f>
        <v>41002</v>
      </c>
      <c r="S5">
        <f t="shared" ref="S5:S53" si="13">SUMIFS(G:G,D:D,"OA Kelley 50",A:A,I5,B:B,J5)</f>
        <v>4086</v>
      </c>
      <c r="T5">
        <f t="shared" si="3"/>
        <v>600.01736211776699</v>
      </c>
      <c r="U5">
        <f t="shared" si="4"/>
        <v>94</v>
      </c>
      <c r="W5">
        <f t="shared" si="5"/>
        <v>1</v>
      </c>
      <c r="X5">
        <f t="shared" si="6"/>
        <v>1</v>
      </c>
      <c r="Z5" t="str">
        <f t="shared" ref="Z5:Z7" si="14">CONCATENATE(I5," &amp; ",J5, " &amp; ", ROUND(K5,2), " &amp; ", L5, " &amp; ", M5, " &amp; ",  ROUND(N5,2), " &amp; ", O5, " &amp; ", P5, " &amp; ", ROUND(Q5,2), " &amp; ", R5, " &amp; ", S5, " &amp; ",  ROUND(T5,2), " &amp; ", U5, "\\")</f>
        <v>pard400_1 &amp; 8 &amp; 364.54 &amp; 54417 &amp; 5400 &amp; 283.65 &amp; 66125 &amp; 4734 &amp; 232.72 &amp; 41002 &amp; 4086 &amp; 600.02 &amp; 94\\</v>
      </c>
    </row>
    <row r="6" spans="1:26" x14ac:dyDescent="0.2">
      <c r="A6" t="s">
        <v>46</v>
      </c>
      <c r="B6">
        <v>8</v>
      </c>
      <c r="C6" t="s">
        <v>21</v>
      </c>
      <c r="D6" t="s">
        <v>1</v>
      </c>
      <c r="E6">
        <v>364.538505077362</v>
      </c>
      <c r="F6">
        <v>54417</v>
      </c>
      <c r="G6">
        <v>5400</v>
      </c>
      <c r="I6" t="str">
        <f t="shared" si="7"/>
        <v>pard400_1</v>
      </c>
      <c r="J6">
        <v>10</v>
      </c>
      <c r="K6" s="1">
        <f t="shared" si="0"/>
        <v>36.331683874130199</v>
      </c>
      <c r="L6">
        <f t="shared" si="1"/>
        <v>24847</v>
      </c>
      <c r="M6">
        <f t="shared" si="2"/>
        <v>980</v>
      </c>
      <c r="N6" s="1">
        <f t="shared" si="8"/>
        <v>13.24944305</v>
      </c>
      <c r="O6">
        <f t="shared" si="9"/>
        <v>8578</v>
      </c>
      <c r="P6">
        <f t="shared" si="10"/>
        <v>554</v>
      </c>
      <c r="Q6" s="1">
        <f t="shared" si="11"/>
        <v>24.44859314</v>
      </c>
      <c r="R6">
        <f t="shared" si="12"/>
        <v>3740</v>
      </c>
      <c r="S6">
        <f t="shared" si="13"/>
        <v>318</v>
      </c>
      <c r="T6">
        <f t="shared" si="3"/>
        <v>600.02834987640301</v>
      </c>
      <c r="U6">
        <f t="shared" si="4"/>
        <v>97</v>
      </c>
      <c r="W6">
        <f t="shared" si="5"/>
        <v>1</v>
      </c>
      <c r="X6">
        <f t="shared" si="6"/>
        <v>1</v>
      </c>
      <c r="Z6" t="str">
        <f t="shared" si="14"/>
        <v>pard400_1 &amp; 10 &amp; 36.33 &amp; 24847 &amp; 980 &amp; 13.25 &amp; 8578 &amp; 554 &amp; 24.45 &amp; 3740 &amp; 318 &amp; 600.03 &amp; 97\\</v>
      </c>
    </row>
    <row r="7" spans="1:26" hidden="1" x14ac:dyDescent="0.2">
      <c r="A7" t="s">
        <v>0</v>
      </c>
      <c r="B7" t="s">
        <v>14</v>
      </c>
      <c r="C7" t="s">
        <v>15</v>
      </c>
      <c r="D7" t="s">
        <v>16</v>
      </c>
      <c r="E7" t="s">
        <v>17</v>
      </c>
      <c r="I7" t="str">
        <f t="shared" si="7"/>
        <v>pard400_1</v>
      </c>
      <c r="J7">
        <v>12</v>
      </c>
      <c r="K7" s="1">
        <f t="shared" si="0"/>
        <v>14.1878859996795</v>
      </c>
      <c r="L7">
        <f t="shared" si="1"/>
        <v>11479</v>
      </c>
      <c r="M7">
        <f t="shared" si="2"/>
        <v>328</v>
      </c>
      <c r="N7" s="1">
        <f t="shared" si="8"/>
        <v>9.3993129730000007</v>
      </c>
      <c r="O7">
        <f t="shared" si="9"/>
        <v>6732</v>
      </c>
      <c r="P7">
        <f t="shared" si="10"/>
        <v>214</v>
      </c>
      <c r="Q7" s="1">
        <f t="shared" si="11"/>
        <v>24.05518889</v>
      </c>
      <c r="R7">
        <f t="shared" si="12"/>
        <v>4030</v>
      </c>
      <c r="S7">
        <f t="shared" si="13"/>
        <v>144</v>
      </c>
      <c r="T7">
        <f t="shared" si="3"/>
        <v>600.02090096473603</v>
      </c>
      <c r="U7">
        <f t="shared" si="4"/>
        <v>100</v>
      </c>
      <c r="W7">
        <f t="shared" si="5"/>
        <v>1</v>
      </c>
      <c r="X7">
        <f t="shared" si="6"/>
        <v>1</v>
      </c>
      <c r="Z7" t="str">
        <f t="shared" si="14"/>
        <v>pard400_1 &amp; 12 &amp; 14.19 &amp; 11479 &amp; 328 &amp; 9.4 &amp; 6732 &amp; 214 &amp; 24.06 &amp; 4030 &amp; 144 &amp; 600.02 &amp; 100\\</v>
      </c>
    </row>
    <row r="8" spans="1:26" hidden="1" x14ac:dyDescent="0.2">
      <c r="A8" t="s">
        <v>46</v>
      </c>
      <c r="B8">
        <v>8</v>
      </c>
      <c r="C8" t="s">
        <v>22</v>
      </c>
      <c r="D8" t="s">
        <v>23</v>
      </c>
      <c r="E8">
        <v>600.01736211776699</v>
      </c>
      <c r="F8">
        <v>94</v>
      </c>
      <c r="I8" t="str">
        <f t="shared" si="7"/>
        <v>pard400_1</v>
      </c>
      <c r="J8">
        <v>400</v>
      </c>
      <c r="K8" s="1">
        <f t="shared" si="0"/>
        <v>49.559916019439697</v>
      </c>
      <c r="L8">
        <f t="shared" si="1"/>
        <v>35028</v>
      </c>
      <c r="M8">
        <f t="shared" si="2"/>
        <v>336</v>
      </c>
      <c r="N8" s="1">
        <f t="shared" si="8"/>
        <v>17.40979695</v>
      </c>
      <c r="O8">
        <f t="shared" si="9"/>
        <v>11580</v>
      </c>
      <c r="P8">
        <f t="shared" si="10"/>
        <v>261</v>
      </c>
      <c r="Q8" s="1">
        <f t="shared" si="11"/>
        <v>44.271379949999996</v>
      </c>
      <c r="R8">
        <f t="shared" si="12"/>
        <v>16007</v>
      </c>
      <c r="S8">
        <f t="shared" si="13"/>
        <v>238</v>
      </c>
      <c r="T8">
        <f t="shared" si="3"/>
        <v>600.02608299255303</v>
      </c>
      <c r="U8">
        <f t="shared" si="4"/>
        <v>74</v>
      </c>
      <c r="W8">
        <f t="shared" si="5"/>
        <v>1</v>
      </c>
      <c r="X8">
        <f t="shared" si="6"/>
        <v>1</v>
      </c>
      <c r="Z8" t="str">
        <f>CONCATENATE(I8," &amp; ","nc", " &amp; ", ROUND(K8,2), " &amp; ", L8, " &amp; ", M8, " &amp; ",  ROUND(N8,2), " &amp; ", O8, " &amp; ", P8, " &amp; ", ROUND(Q8,2), " &amp; ", R8, " &amp; ", S8, " &amp; ",  ROUND(T8,2), " &amp; ", U8, "\\")</f>
        <v>pard400_1 &amp; nc &amp; 49.56 &amp; 35028 &amp; 336 &amp; 17.41 &amp; 11580 &amp; 261 &amp; 44.27 &amp; 16007 &amp; 238 &amp; 600.03 &amp; 74\\</v>
      </c>
    </row>
    <row r="9" spans="1:26" hidden="1" x14ac:dyDescent="0.2">
      <c r="A9" t="s">
        <v>0</v>
      </c>
      <c r="B9" t="s">
        <v>14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I9" t="str">
        <f>CONCATENATE($I$1,"2")</f>
        <v>pard400_2</v>
      </c>
      <c r="J9">
        <v>6</v>
      </c>
      <c r="K9" s="1">
        <f t="shared" si="0"/>
        <v>0.18123507499694799</v>
      </c>
      <c r="L9">
        <f t="shared" si="1"/>
        <v>71</v>
      </c>
      <c r="M9">
        <f t="shared" si="2"/>
        <v>21</v>
      </c>
      <c r="N9" s="1">
        <f t="shared" si="8"/>
        <v>0.12474107700000001</v>
      </c>
      <c r="O9">
        <f t="shared" si="9"/>
        <v>24</v>
      </c>
      <c r="P9">
        <f t="shared" si="10"/>
        <v>8</v>
      </c>
      <c r="Q9" s="1">
        <f t="shared" si="11"/>
        <v>3.3145160680000001</v>
      </c>
      <c r="R9">
        <f t="shared" si="12"/>
        <v>18</v>
      </c>
      <c r="S9">
        <f t="shared" si="13"/>
        <v>6</v>
      </c>
      <c r="T9">
        <f t="shared" si="3"/>
        <v>160.944477081298</v>
      </c>
      <c r="U9">
        <f t="shared" si="4"/>
        <v>17</v>
      </c>
      <c r="W9">
        <f t="shared" si="5"/>
        <v>1</v>
      </c>
      <c r="X9">
        <f t="shared" si="6"/>
        <v>1</v>
      </c>
      <c r="Z9" t="str">
        <f>CONCATENATE(I9," &amp; ",J9, " &amp; ", ROUND(K9,2), " &amp; ", L9, " &amp; ", M9, " &amp; ",  ROUND(N9,2), " &amp; ", O9, " &amp; ", P9, " &amp; ", ROUND(Q9,2), " &amp; ", R9, " &amp; ", S9, " &amp; ",  ROUND(T9,2), " &amp; ", U9, "\\")</f>
        <v>pard400_2 &amp; 6 &amp; 0.18 &amp; 71 &amp; 21 &amp; 0.12 &amp; 24 &amp; 8 &amp; 3.31 &amp; 18 &amp; 6 &amp; 160.94 &amp; 17\\</v>
      </c>
    </row>
    <row r="10" spans="1:26" hidden="1" x14ac:dyDescent="0.2">
      <c r="A10" t="s">
        <v>46</v>
      </c>
      <c r="B10">
        <v>10</v>
      </c>
      <c r="C10" t="s">
        <v>21</v>
      </c>
      <c r="D10" t="s">
        <v>1</v>
      </c>
      <c r="E10">
        <v>36.331683874130199</v>
      </c>
      <c r="F10">
        <v>24847</v>
      </c>
      <c r="G10">
        <v>980</v>
      </c>
      <c r="I10" t="str">
        <f t="shared" ref="I10:I13" si="15">CONCATENATE($I$1,"2")</f>
        <v>pard400_2</v>
      </c>
      <c r="J10">
        <v>8</v>
      </c>
      <c r="K10" s="1">
        <f t="shared" si="0"/>
        <v>0.310292959213256</v>
      </c>
      <c r="L10">
        <f t="shared" si="1"/>
        <v>227</v>
      </c>
      <c r="M10">
        <f t="shared" si="2"/>
        <v>24</v>
      </c>
      <c r="N10" s="1">
        <f t="shared" si="8"/>
        <v>0.12810301800000001</v>
      </c>
      <c r="O10">
        <f t="shared" si="9"/>
        <v>12</v>
      </c>
      <c r="P10">
        <f t="shared" si="10"/>
        <v>8</v>
      </c>
      <c r="Q10" s="1">
        <f t="shared" si="11"/>
        <v>2.1745719910000001</v>
      </c>
      <c r="R10">
        <f t="shared" si="12"/>
        <v>14</v>
      </c>
      <c r="S10">
        <f t="shared" si="13"/>
        <v>8</v>
      </c>
      <c r="T10">
        <f t="shared" si="3"/>
        <v>350.88988184928797</v>
      </c>
      <c r="U10">
        <f t="shared" si="4"/>
        <v>53</v>
      </c>
      <c r="W10">
        <f t="shared" si="5"/>
        <v>1</v>
      </c>
      <c r="X10">
        <f t="shared" si="6"/>
        <v>1</v>
      </c>
      <c r="Z10" t="str">
        <f t="shared" ref="Z10:Z12" si="16">CONCATENATE(I10," &amp; ",J10, " &amp; ", ROUND(K10,2), " &amp; ", L10, " &amp; ", M10, " &amp; ",  ROUND(N10,2), " &amp; ", O10, " &amp; ", P10, " &amp; ", ROUND(Q10,2), " &amp; ", R10, " &amp; ", S10, " &amp; ",  ROUND(T10,2), " &amp; ", U10, "\\")</f>
        <v>pard400_2 &amp; 8 &amp; 0.31 &amp; 227 &amp; 24 &amp; 0.13 &amp; 12 &amp; 8 &amp; 2.17 &amp; 14 &amp; 8 &amp; 350.89 &amp; 53\\</v>
      </c>
    </row>
    <row r="11" spans="1:26" x14ac:dyDescent="0.2">
      <c r="A11" t="s">
        <v>0</v>
      </c>
      <c r="B11" t="s">
        <v>14</v>
      </c>
      <c r="C11" t="s">
        <v>15</v>
      </c>
      <c r="D11" t="s">
        <v>16</v>
      </c>
      <c r="E11" t="s">
        <v>17</v>
      </c>
      <c r="I11" t="str">
        <f t="shared" si="15"/>
        <v>pard400_2</v>
      </c>
      <c r="J11">
        <v>10</v>
      </c>
      <c r="K11" s="1">
        <f t="shared" si="0"/>
        <v>0.137103080749511</v>
      </c>
      <c r="L11">
        <f t="shared" si="1"/>
        <v>87</v>
      </c>
      <c r="M11">
        <f t="shared" si="2"/>
        <v>10</v>
      </c>
      <c r="N11" s="1">
        <f t="shared" si="8"/>
        <v>5.3385973000000003E-2</v>
      </c>
      <c r="O11">
        <f t="shared" si="9"/>
        <v>0</v>
      </c>
      <c r="P11">
        <f t="shared" si="10"/>
        <v>2</v>
      </c>
      <c r="Q11" s="1">
        <f t="shared" si="11"/>
        <v>4.6422005000000002E-2</v>
      </c>
      <c r="R11">
        <f t="shared" si="12"/>
        <v>0</v>
      </c>
      <c r="S11">
        <f t="shared" si="13"/>
        <v>2</v>
      </c>
      <c r="T11">
        <f t="shared" si="3"/>
        <v>178.225980043411</v>
      </c>
      <c r="U11">
        <f t="shared" si="4"/>
        <v>23</v>
      </c>
      <c r="W11">
        <f t="shared" si="5"/>
        <v>1</v>
      </c>
      <c r="X11">
        <f t="shared" si="6"/>
        <v>1</v>
      </c>
      <c r="Z11" t="str">
        <f t="shared" si="16"/>
        <v>pard400_2 &amp; 10 &amp; 0.14 &amp; 87 &amp; 10 &amp; 0.05 &amp; 0 &amp; 2 &amp; 0.05 &amp; 0 &amp; 2 &amp; 178.23 &amp; 23\\</v>
      </c>
    </row>
    <row r="12" spans="1:26" hidden="1" x14ac:dyDescent="0.2">
      <c r="A12" t="s">
        <v>46</v>
      </c>
      <c r="B12">
        <v>10</v>
      </c>
      <c r="C12" t="s">
        <v>22</v>
      </c>
      <c r="D12" t="s">
        <v>23</v>
      </c>
      <c r="E12">
        <v>600.02834987640301</v>
      </c>
      <c r="F12">
        <v>97</v>
      </c>
      <c r="I12" t="str">
        <f t="shared" si="15"/>
        <v>pard400_2</v>
      </c>
      <c r="J12">
        <v>12</v>
      </c>
      <c r="K12" s="1">
        <f t="shared" si="0"/>
        <v>0.122168064117431</v>
      </c>
      <c r="L12">
        <f t="shared" si="1"/>
        <v>54</v>
      </c>
      <c r="M12">
        <f t="shared" si="2"/>
        <v>6</v>
      </c>
      <c r="N12" s="1">
        <f t="shared" si="8"/>
        <v>0.24377989799999999</v>
      </c>
      <c r="O12">
        <f t="shared" si="9"/>
        <v>10</v>
      </c>
      <c r="P12">
        <f t="shared" si="10"/>
        <v>3</v>
      </c>
      <c r="Q12" s="1">
        <f t="shared" si="11"/>
        <v>1.1334700579999999</v>
      </c>
      <c r="R12">
        <f t="shared" si="12"/>
        <v>5</v>
      </c>
      <c r="S12">
        <f t="shared" si="13"/>
        <v>3</v>
      </c>
      <c r="T12">
        <f t="shared" si="3"/>
        <v>600.016723155975</v>
      </c>
      <c r="U12">
        <f t="shared" si="4"/>
        <v>69</v>
      </c>
      <c r="W12">
        <f t="shared" si="5"/>
        <v>1</v>
      </c>
      <c r="X12">
        <f t="shared" si="6"/>
        <v>1</v>
      </c>
      <c r="Z12" t="str">
        <f t="shared" si="16"/>
        <v>pard400_2 &amp; 12 &amp; 0.12 &amp; 54 &amp; 6 &amp; 0.24 &amp; 10 &amp; 3 &amp; 1.13 &amp; 5 &amp; 3 &amp; 600.02 &amp; 69\\</v>
      </c>
    </row>
    <row r="13" spans="1:26" hidden="1" x14ac:dyDescent="0.2">
      <c r="A13" t="s">
        <v>0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I13" t="str">
        <f t="shared" si="15"/>
        <v>pard400_2</v>
      </c>
      <c r="J13">
        <v>400</v>
      </c>
      <c r="K13" s="1">
        <f t="shared" si="0"/>
        <v>0.124279022216796</v>
      </c>
      <c r="L13">
        <f t="shared" si="1"/>
        <v>52</v>
      </c>
      <c r="M13">
        <f t="shared" si="2"/>
        <v>5</v>
      </c>
      <c r="N13" s="1">
        <f t="shared" si="8"/>
        <v>0.24565720599999999</v>
      </c>
      <c r="O13">
        <f t="shared" si="9"/>
        <v>9</v>
      </c>
      <c r="P13">
        <f t="shared" si="10"/>
        <v>2</v>
      </c>
      <c r="Q13" s="1">
        <f t="shared" si="11"/>
        <v>2.5690789220000001</v>
      </c>
      <c r="R13">
        <f t="shared" si="12"/>
        <v>12</v>
      </c>
      <c r="S13">
        <f t="shared" si="13"/>
        <v>2</v>
      </c>
      <c r="T13">
        <f t="shared" si="3"/>
        <v>600.02465796470597</v>
      </c>
      <c r="U13">
        <f t="shared" si="4"/>
        <v>70</v>
      </c>
      <c r="W13">
        <f t="shared" si="5"/>
        <v>1</v>
      </c>
      <c r="X13">
        <f t="shared" si="6"/>
        <v>1</v>
      </c>
      <c r="Z13" t="str">
        <f>CONCATENATE(I13," &amp; ","nc", " &amp; ", ROUND(K13,2), " &amp; ", L13, " &amp; ", M13, " &amp; ",  ROUND(N13,2), " &amp; ", O13, " &amp; ", P13, " &amp; ", ROUND(Q13,2), " &amp; ", R13, " &amp; ", S13, " &amp; ",  ROUND(T13,2), " &amp; ", U13, "\\")</f>
        <v>pard400_2 &amp; nc &amp; 0.12 &amp; 52 &amp; 5 &amp; 0.25 &amp; 9 &amp; 2 &amp; 2.57 &amp; 12 &amp; 2 &amp; 600.02 &amp; 70\\</v>
      </c>
    </row>
    <row r="14" spans="1:26" hidden="1" x14ac:dyDescent="0.2">
      <c r="A14" t="s">
        <v>46</v>
      </c>
      <c r="B14">
        <v>12</v>
      </c>
      <c r="C14" t="s">
        <v>21</v>
      </c>
      <c r="D14" t="s">
        <v>1</v>
      </c>
      <c r="E14">
        <v>14.1878859996795</v>
      </c>
      <c r="F14">
        <v>11479</v>
      </c>
      <c r="G14">
        <v>328</v>
      </c>
      <c r="I14" t="str">
        <f>CONCATENATE($I$1,"3")</f>
        <v>pard400_3</v>
      </c>
      <c r="J14">
        <v>6</v>
      </c>
      <c r="K14" s="1">
        <f t="shared" si="0"/>
        <v>1.3798201084136901</v>
      </c>
      <c r="L14">
        <f t="shared" si="1"/>
        <v>1335</v>
      </c>
      <c r="M14">
        <f t="shared" si="2"/>
        <v>149</v>
      </c>
      <c r="N14" s="1">
        <f t="shared" si="8"/>
        <v>1.6982851029999999</v>
      </c>
      <c r="O14">
        <f t="shared" si="9"/>
        <v>895</v>
      </c>
      <c r="P14">
        <f t="shared" si="10"/>
        <v>121</v>
      </c>
      <c r="Q14" s="1">
        <f t="shared" si="11"/>
        <v>16.371105190000002</v>
      </c>
      <c r="R14">
        <f t="shared" si="12"/>
        <v>534</v>
      </c>
      <c r="S14">
        <f t="shared" si="13"/>
        <v>84</v>
      </c>
      <c r="T14">
        <f t="shared" si="3"/>
        <v>600.005584955215</v>
      </c>
      <c r="U14">
        <f t="shared" si="4"/>
        <v>100</v>
      </c>
      <c r="W14">
        <f t="shared" si="5"/>
        <v>1</v>
      </c>
      <c r="X14">
        <f t="shared" si="6"/>
        <v>1</v>
      </c>
      <c r="Z14" t="str">
        <f>CONCATENATE(I14," &amp; ",J14, " &amp; ", ROUND(K14,2), " &amp; ", L14, " &amp; ", M14, " &amp; ",  ROUND(N14,2), " &amp; ", O14, " &amp; ", P14, " &amp; ", ROUND(Q14,2), " &amp; ", R14, " &amp; ", S14, " &amp; ",  ROUND(T14,2), " &amp; ", U14, "\\")</f>
        <v>pard400_3 &amp; 6 &amp; 1.38 &amp; 1335 &amp; 149 &amp; 1.7 &amp; 895 &amp; 121 &amp; 16.37 &amp; 534 &amp; 84 &amp; 600.01 &amp; 100\\</v>
      </c>
    </row>
    <row r="15" spans="1:26" hidden="1" x14ac:dyDescent="0.2">
      <c r="A15" t="s">
        <v>0</v>
      </c>
      <c r="B15" t="s">
        <v>14</v>
      </c>
      <c r="C15" t="s">
        <v>15</v>
      </c>
      <c r="D15" t="s">
        <v>16</v>
      </c>
      <c r="E15" t="s">
        <v>17</v>
      </c>
      <c r="I15" t="str">
        <f t="shared" ref="I15:I18" si="17">CONCATENATE($I$1,"3")</f>
        <v>pard400_3</v>
      </c>
      <c r="J15">
        <v>8</v>
      </c>
      <c r="K15" s="1">
        <f t="shared" si="0"/>
        <v>3.2174930572509699</v>
      </c>
      <c r="L15">
        <f t="shared" si="1"/>
        <v>2458</v>
      </c>
      <c r="M15">
        <f t="shared" si="2"/>
        <v>271</v>
      </c>
      <c r="N15" s="1">
        <f t="shared" si="8"/>
        <v>3.239233971</v>
      </c>
      <c r="O15">
        <f t="shared" si="9"/>
        <v>1862</v>
      </c>
      <c r="P15">
        <f t="shared" si="10"/>
        <v>206</v>
      </c>
      <c r="Q15" s="1">
        <f t="shared" si="11"/>
        <v>18.404746060000001</v>
      </c>
      <c r="R15">
        <f t="shared" si="12"/>
        <v>1353</v>
      </c>
      <c r="S15">
        <f t="shared" si="13"/>
        <v>133</v>
      </c>
      <c r="T15">
        <f t="shared" si="3"/>
        <v>600.02238607406605</v>
      </c>
      <c r="U15">
        <f t="shared" si="4"/>
        <v>80</v>
      </c>
      <c r="W15">
        <f t="shared" si="5"/>
        <v>1</v>
      </c>
      <c r="X15">
        <f t="shared" si="6"/>
        <v>1</v>
      </c>
      <c r="Z15" t="str">
        <f t="shared" ref="Z15:Z17" si="18">CONCATENATE(I15," &amp; ",J15, " &amp; ", ROUND(K15,2), " &amp; ", L15, " &amp; ", M15, " &amp; ",  ROUND(N15,2), " &amp; ", O15, " &amp; ", P15, " &amp; ", ROUND(Q15,2), " &amp; ", R15, " &amp; ", S15, " &amp; ",  ROUND(T15,2), " &amp; ", U15, "\\")</f>
        <v>pard400_3 &amp; 8 &amp; 3.22 &amp; 2458 &amp; 271 &amp; 3.24 &amp; 1862 &amp; 206 &amp; 18.4 &amp; 1353 &amp; 133 &amp; 600.02 &amp; 80\\</v>
      </c>
    </row>
    <row r="16" spans="1:26" x14ac:dyDescent="0.2">
      <c r="A16" t="s">
        <v>46</v>
      </c>
      <c r="B16">
        <v>12</v>
      </c>
      <c r="C16" t="s">
        <v>22</v>
      </c>
      <c r="D16" t="s">
        <v>23</v>
      </c>
      <c r="E16">
        <v>600.02090096473603</v>
      </c>
      <c r="F16">
        <v>100</v>
      </c>
      <c r="I16" t="str">
        <f t="shared" si="17"/>
        <v>pard400_3</v>
      </c>
      <c r="J16">
        <v>10</v>
      </c>
      <c r="K16" s="1">
        <f t="shared" si="0"/>
        <v>8.8146259784698398</v>
      </c>
      <c r="L16">
        <f t="shared" si="1"/>
        <v>9924</v>
      </c>
      <c r="M16">
        <f t="shared" si="2"/>
        <v>347</v>
      </c>
      <c r="N16" s="1">
        <f t="shared" si="8"/>
        <v>3.2217681410000001</v>
      </c>
      <c r="O16">
        <f t="shared" si="9"/>
        <v>2500</v>
      </c>
      <c r="P16">
        <f t="shared" si="10"/>
        <v>146</v>
      </c>
      <c r="Q16" s="1">
        <f t="shared" si="11"/>
        <v>19.1547029</v>
      </c>
      <c r="R16">
        <f t="shared" si="12"/>
        <v>1351</v>
      </c>
      <c r="S16">
        <f t="shared" si="13"/>
        <v>55</v>
      </c>
      <c r="T16">
        <f t="shared" si="3"/>
        <v>600.02892994880597</v>
      </c>
      <c r="U16">
        <f t="shared" si="4"/>
        <v>82</v>
      </c>
      <c r="W16">
        <f t="shared" si="5"/>
        <v>1</v>
      </c>
      <c r="X16">
        <f t="shared" si="6"/>
        <v>1</v>
      </c>
      <c r="Z16" t="str">
        <f t="shared" si="18"/>
        <v>pard400_3 &amp; 10 &amp; 8.81 &amp; 9924 &amp; 347 &amp; 3.22 &amp; 2500 &amp; 146 &amp; 19.15 &amp; 1351 &amp; 55 &amp; 600.03 &amp; 82\\</v>
      </c>
    </row>
    <row r="17" spans="1:26" hidden="1" x14ac:dyDescent="0.2">
      <c r="A17" t="s">
        <v>0</v>
      </c>
      <c r="B17" t="s">
        <v>14</v>
      </c>
      <c r="C17" t="s">
        <v>15</v>
      </c>
      <c r="D17" t="s">
        <v>16</v>
      </c>
      <c r="E17" t="s">
        <v>17</v>
      </c>
      <c r="F17" t="s">
        <v>18</v>
      </c>
      <c r="G17" t="s">
        <v>19</v>
      </c>
      <c r="I17" t="str">
        <f t="shared" si="17"/>
        <v>pard400_3</v>
      </c>
      <c r="J17">
        <v>12</v>
      </c>
      <c r="K17" s="1">
        <f t="shared" si="0"/>
        <v>0.44812512397766102</v>
      </c>
      <c r="L17">
        <f t="shared" si="1"/>
        <v>838</v>
      </c>
      <c r="M17">
        <f t="shared" si="2"/>
        <v>12</v>
      </c>
      <c r="N17" s="1">
        <f t="shared" si="8"/>
        <v>0.26462888699999998</v>
      </c>
      <c r="O17">
        <f t="shared" si="9"/>
        <v>102</v>
      </c>
      <c r="P17">
        <f t="shared" si="10"/>
        <v>2</v>
      </c>
      <c r="Q17" s="1">
        <f t="shared" si="11"/>
        <v>13.712641</v>
      </c>
      <c r="R17">
        <f t="shared" si="12"/>
        <v>59</v>
      </c>
      <c r="S17">
        <f t="shared" si="13"/>
        <v>2</v>
      </c>
      <c r="T17">
        <f t="shared" si="3"/>
        <v>582.039318084716</v>
      </c>
      <c r="U17">
        <f t="shared" si="4"/>
        <v>92</v>
      </c>
      <c r="W17">
        <f t="shared" si="5"/>
        <v>1</v>
      </c>
      <c r="X17">
        <f t="shared" si="6"/>
        <v>1</v>
      </c>
      <c r="Z17" t="str">
        <f t="shared" si="18"/>
        <v>pard400_3 &amp; 12 &amp; 0.45 &amp; 838 &amp; 12 &amp; 0.26 &amp; 102 &amp; 2 &amp; 13.71 &amp; 59 &amp; 2 &amp; 582.04 &amp; 92\\</v>
      </c>
    </row>
    <row r="18" spans="1:26" hidden="1" x14ac:dyDescent="0.2">
      <c r="A18" t="s">
        <v>46</v>
      </c>
      <c r="B18">
        <v>400</v>
      </c>
      <c r="C18" t="s">
        <v>21</v>
      </c>
      <c r="D18" t="s">
        <v>1</v>
      </c>
      <c r="E18">
        <v>49.559916019439697</v>
      </c>
      <c r="F18">
        <v>35028</v>
      </c>
      <c r="G18">
        <v>336</v>
      </c>
      <c r="I18" t="str">
        <f t="shared" si="17"/>
        <v>pard400_3</v>
      </c>
      <c r="J18">
        <v>400</v>
      </c>
      <c r="K18" s="1">
        <f t="shared" si="0"/>
        <v>0.55665802955627397</v>
      </c>
      <c r="L18">
        <f t="shared" si="1"/>
        <v>1259</v>
      </c>
      <c r="M18">
        <f t="shared" si="2"/>
        <v>10</v>
      </c>
      <c r="N18" s="1">
        <f t="shared" si="8"/>
        <v>0.22054600699999999</v>
      </c>
      <c r="O18">
        <f t="shared" si="9"/>
        <v>130</v>
      </c>
      <c r="P18">
        <f t="shared" si="10"/>
        <v>2</v>
      </c>
      <c r="Q18" s="1">
        <f t="shared" si="11"/>
        <v>15.33560419</v>
      </c>
      <c r="R18">
        <f t="shared" si="12"/>
        <v>74</v>
      </c>
      <c r="S18">
        <f t="shared" si="13"/>
        <v>2</v>
      </c>
      <c r="T18">
        <f t="shared" si="3"/>
        <v>600.04448795318604</v>
      </c>
      <c r="U18">
        <f t="shared" si="4"/>
        <v>100</v>
      </c>
      <c r="W18">
        <f t="shared" si="5"/>
        <v>1</v>
      </c>
      <c r="X18">
        <f t="shared" si="6"/>
        <v>1</v>
      </c>
      <c r="Z18" t="str">
        <f>CONCATENATE(I18," &amp; ","nc", " &amp; ", ROUND(K18,2), " &amp; ", L18, " &amp; ", M18, " &amp; ",  ROUND(N18,2), " &amp; ", O18, " &amp; ", P18, " &amp; ", ROUND(Q18,2), " &amp; ", R18, " &amp; ", S18, " &amp; ",  ROUND(T18,2), " &amp; ", U18, "\\")</f>
        <v>pard400_3 &amp; nc &amp; 0.56 &amp; 1259 &amp; 10 &amp; 0.22 &amp; 130 &amp; 2 &amp; 15.34 &amp; 74 &amp; 2 &amp; 600.04 &amp; 100\\</v>
      </c>
    </row>
    <row r="19" spans="1:26" hidden="1" x14ac:dyDescent="0.2">
      <c r="A19" t="s">
        <v>0</v>
      </c>
      <c r="B19" t="s">
        <v>14</v>
      </c>
      <c r="C19" t="s">
        <v>15</v>
      </c>
      <c r="D19" t="s">
        <v>16</v>
      </c>
      <c r="E19" t="s">
        <v>17</v>
      </c>
      <c r="I19" t="str">
        <f>CONCATENATE($I$1,"4")</f>
        <v>pard400_4</v>
      </c>
      <c r="J19">
        <v>6</v>
      </c>
      <c r="K19" s="1">
        <f t="shared" si="0"/>
        <v>53.038620948791497</v>
      </c>
      <c r="L19">
        <f t="shared" si="1"/>
        <v>18492</v>
      </c>
      <c r="M19">
        <f t="shared" si="2"/>
        <v>1712</v>
      </c>
      <c r="N19" s="1">
        <f t="shared" si="8"/>
        <v>54.560335159301701</v>
      </c>
      <c r="O19">
        <f t="shared" si="9"/>
        <v>14363</v>
      </c>
      <c r="P19">
        <f t="shared" si="10"/>
        <v>1677</v>
      </c>
      <c r="Q19" s="1">
        <f t="shared" si="11"/>
        <v>57.547971010208101</v>
      </c>
      <c r="R19">
        <f t="shared" si="12"/>
        <v>10891</v>
      </c>
      <c r="S19">
        <f t="shared" si="13"/>
        <v>1237</v>
      </c>
      <c r="T19">
        <f t="shared" si="3"/>
        <v>600.03826212882996</v>
      </c>
      <c r="U19">
        <f t="shared" si="4"/>
        <v>99</v>
      </c>
      <c r="W19">
        <f t="shared" si="5"/>
        <v>1</v>
      </c>
      <c r="X19">
        <f t="shared" si="6"/>
        <v>1</v>
      </c>
      <c r="Z19" t="str">
        <f>CONCATENATE(I19," &amp; ",J19, " &amp; ", ROUND(K19,2), " &amp; ", L19, " &amp; ", M19, " &amp; ",  ROUND(N19,2), " &amp; ", O19, " &amp; ", P19, " &amp; ", ROUND(Q19,2), " &amp; ", R19, " &amp; ", S19, " &amp; ",  ROUND(T19,2), " &amp; ", U19, "\\")</f>
        <v>pard400_4 &amp; 6 &amp; 53.04 &amp; 18492 &amp; 1712 &amp; 54.56 &amp; 14363 &amp; 1677 &amp; 57.55 &amp; 10891 &amp; 1237 &amp; 600.04 &amp; 99\\</v>
      </c>
    </row>
    <row r="20" spans="1:26" hidden="1" x14ac:dyDescent="0.2">
      <c r="A20" t="s">
        <v>46</v>
      </c>
      <c r="B20">
        <v>400</v>
      </c>
      <c r="C20" t="s">
        <v>22</v>
      </c>
      <c r="D20" t="s">
        <v>23</v>
      </c>
      <c r="E20">
        <v>600.02608299255303</v>
      </c>
      <c r="F20">
        <v>74</v>
      </c>
      <c r="I20" t="str">
        <f t="shared" ref="I20:I23" si="19">CONCATENATE($I$1,"4")</f>
        <v>pard400_4</v>
      </c>
      <c r="J20">
        <v>8</v>
      </c>
      <c r="K20" s="1">
        <f t="shared" si="0"/>
        <v>183.865854978561</v>
      </c>
      <c r="L20">
        <f t="shared" si="1"/>
        <v>47458</v>
      </c>
      <c r="M20">
        <f t="shared" si="2"/>
        <v>3660</v>
      </c>
      <c r="N20" s="3">
        <f t="shared" si="8"/>
        <v>179.033820867538</v>
      </c>
      <c r="O20" s="2">
        <f t="shared" si="9"/>
        <v>42142</v>
      </c>
      <c r="P20" s="2">
        <f t="shared" si="10"/>
        <v>3522</v>
      </c>
      <c r="Q20" s="3">
        <f t="shared" si="11"/>
        <v>166.11523103713901</v>
      </c>
      <c r="R20">
        <f t="shared" si="12"/>
        <v>37067</v>
      </c>
      <c r="S20">
        <f t="shared" si="13"/>
        <v>2923</v>
      </c>
      <c r="T20">
        <f t="shared" si="3"/>
        <v>600.01182913780201</v>
      </c>
      <c r="U20">
        <f t="shared" si="4"/>
        <v>90</v>
      </c>
      <c r="W20">
        <f t="shared" si="5"/>
        <v>1</v>
      </c>
      <c r="X20">
        <f t="shared" si="6"/>
        <v>1</v>
      </c>
      <c r="Z20" t="str">
        <f t="shared" ref="Z20:Z22" si="20">CONCATENATE(I20," &amp; ",J20, " &amp; ", ROUND(K20,2), " &amp; ", L20, " &amp; ", M20, " &amp; ",  ROUND(N20,2), " &amp; ", O20, " &amp; ", P20, " &amp; ", ROUND(Q20,2), " &amp; ", R20, " &amp; ", S20, " &amp; ",  ROUND(T20,2), " &amp; ", U20, "\\")</f>
        <v>pard400_4 &amp; 8 &amp; 183.87 &amp; 47458 &amp; 3660 &amp; 179.03 &amp; 42142 &amp; 3522 &amp; 166.12 &amp; 37067 &amp; 2923 &amp; 600.01 &amp; 90\\</v>
      </c>
    </row>
    <row r="21" spans="1:26" x14ac:dyDescent="0.2">
      <c r="A21" t="s">
        <v>0</v>
      </c>
      <c r="B21" t="s">
        <v>14</v>
      </c>
      <c r="C21" t="s">
        <v>15</v>
      </c>
      <c r="D21" t="s">
        <v>16</v>
      </c>
      <c r="E21" t="s">
        <v>17</v>
      </c>
      <c r="F21" t="s">
        <v>18</v>
      </c>
      <c r="G21" t="s">
        <v>19</v>
      </c>
      <c r="I21" s="2" t="str">
        <f t="shared" si="19"/>
        <v>pard400_4</v>
      </c>
      <c r="J21" s="2">
        <v>10</v>
      </c>
      <c r="K21" s="3">
        <f t="shared" si="0"/>
        <v>259.10006594657898</v>
      </c>
      <c r="L21" s="2">
        <f t="shared" si="1"/>
        <v>76394</v>
      </c>
      <c r="M21" s="2">
        <f t="shared" si="2"/>
        <v>2153</v>
      </c>
      <c r="N21" s="3">
        <f t="shared" si="8"/>
        <v>516.52605390548695</v>
      </c>
      <c r="O21" s="2">
        <f t="shared" si="9"/>
        <v>81907</v>
      </c>
      <c r="P21" s="2">
        <f t="shared" si="10"/>
        <v>5782</v>
      </c>
      <c r="Q21" s="3">
        <f t="shared" si="11"/>
        <v>439.25884389999999</v>
      </c>
      <c r="R21">
        <f t="shared" si="12"/>
        <v>96747</v>
      </c>
      <c r="S21">
        <f t="shared" si="13"/>
        <v>3614</v>
      </c>
      <c r="T21" s="2">
        <f t="shared" si="3"/>
        <v>600.02330803871098</v>
      </c>
      <c r="U21" s="2">
        <f t="shared" si="4"/>
        <v>90</v>
      </c>
      <c r="W21">
        <f t="shared" si="5"/>
        <v>1</v>
      </c>
      <c r="X21">
        <f t="shared" si="6"/>
        <v>1</v>
      </c>
      <c r="Z21" t="str">
        <f t="shared" si="20"/>
        <v>pard400_4 &amp; 10 &amp; 259.1 &amp; 76394 &amp; 2153 &amp; 516.53 &amp; 81907 &amp; 5782 &amp; 439.26 &amp; 96747 &amp; 3614 &amp; 600.02 &amp; 90\\</v>
      </c>
    </row>
    <row r="22" spans="1:26" hidden="1" x14ac:dyDescent="0.2">
      <c r="A22" t="s">
        <v>47</v>
      </c>
      <c r="B22">
        <v>6</v>
      </c>
      <c r="C22" t="s">
        <v>21</v>
      </c>
      <c r="D22" t="s">
        <v>1</v>
      </c>
      <c r="E22">
        <v>0.18123507499694799</v>
      </c>
      <c r="F22">
        <v>71</v>
      </c>
      <c r="G22">
        <v>21</v>
      </c>
      <c r="I22" t="str">
        <f t="shared" si="19"/>
        <v>pard400_4</v>
      </c>
      <c r="J22">
        <v>12</v>
      </c>
      <c r="K22" s="1">
        <f t="shared" si="0"/>
        <v>1.87955093383789</v>
      </c>
      <c r="L22">
        <f t="shared" si="1"/>
        <v>2428</v>
      </c>
      <c r="M22">
        <f t="shared" si="2"/>
        <v>98</v>
      </c>
      <c r="N22" s="1">
        <f t="shared" si="8"/>
        <v>0.638633966</v>
      </c>
      <c r="O22">
        <f t="shared" si="9"/>
        <v>311</v>
      </c>
      <c r="P22">
        <f t="shared" si="10"/>
        <v>21</v>
      </c>
      <c r="Q22" s="1">
        <f t="shared" si="11"/>
        <v>15.55586791</v>
      </c>
      <c r="R22">
        <f t="shared" si="12"/>
        <v>220</v>
      </c>
      <c r="S22">
        <f t="shared" si="13"/>
        <v>12</v>
      </c>
      <c r="T22">
        <f t="shared" si="3"/>
        <v>407.55394101142798</v>
      </c>
      <c r="U22">
        <f t="shared" si="4"/>
        <v>67</v>
      </c>
      <c r="W22">
        <f t="shared" si="5"/>
        <v>1</v>
      </c>
      <c r="X22">
        <f t="shared" si="6"/>
        <v>1</v>
      </c>
      <c r="Z22" t="str">
        <f t="shared" si="20"/>
        <v>pard400_4 &amp; 12 &amp; 1.88 &amp; 2428 &amp; 98 &amp; 0.64 &amp; 311 &amp; 21 &amp; 15.56 &amp; 220 &amp; 12 &amp; 407.55 &amp; 67\\</v>
      </c>
    </row>
    <row r="23" spans="1:26" hidden="1" x14ac:dyDescent="0.2">
      <c r="A23" t="s">
        <v>0</v>
      </c>
      <c r="B23" t="s">
        <v>14</v>
      </c>
      <c r="C23" t="s">
        <v>15</v>
      </c>
      <c r="D23" t="s">
        <v>16</v>
      </c>
      <c r="E23" t="s">
        <v>17</v>
      </c>
      <c r="I23" t="str">
        <f t="shared" si="19"/>
        <v>pard400_4</v>
      </c>
      <c r="J23">
        <v>400</v>
      </c>
      <c r="K23" s="1">
        <f t="shared" si="0"/>
        <v>3.7614109516143799</v>
      </c>
      <c r="L23">
        <f t="shared" si="1"/>
        <v>4738</v>
      </c>
      <c r="M23">
        <f t="shared" si="2"/>
        <v>105</v>
      </c>
      <c r="N23" s="1">
        <f t="shared" si="8"/>
        <v>2.141846895</v>
      </c>
      <c r="O23">
        <f t="shared" si="9"/>
        <v>1795</v>
      </c>
      <c r="P23">
        <f t="shared" si="10"/>
        <v>66</v>
      </c>
      <c r="Q23" s="1">
        <f t="shared" si="11"/>
        <v>18.331933020000001</v>
      </c>
      <c r="R23">
        <f t="shared" si="12"/>
        <v>1008</v>
      </c>
      <c r="S23">
        <f t="shared" si="13"/>
        <v>53</v>
      </c>
      <c r="T23">
        <f t="shared" si="3"/>
        <v>600.02470016479401</v>
      </c>
      <c r="U23">
        <f t="shared" si="4"/>
        <v>90</v>
      </c>
      <c r="W23">
        <f t="shared" si="5"/>
        <v>1</v>
      </c>
      <c r="X23">
        <f t="shared" si="6"/>
        <v>1</v>
      </c>
      <c r="Z23" t="str">
        <f>CONCATENATE(I23," &amp; ","nc", " &amp; ", ROUND(K23,2), " &amp; ", L23, " &amp; ", M23, " &amp; ",  ROUND(N23,2), " &amp; ", O23, " &amp; ", P23, " &amp; ", ROUND(Q23,2), " &amp; ", R23, " &amp; ", S23, " &amp; ",  ROUND(T23,2), " &amp; ", U23, "\\")</f>
        <v>pard400_4 &amp; nc &amp; 3.76 &amp; 4738 &amp; 105 &amp; 2.14 &amp; 1795 &amp; 66 &amp; 18.33 &amp; 1008 &amp; 53 &amp; 600.02 &amp; 90\\</v>
      </c>
    </row>
    <row r="24" spans="1:26" hidden="1" x14ac:dyDescent="0.2">
      <c r="A24" t="s">
        <v>47</v>
      </c>
      <c r="B24">
        <v>6</v>
      </c>
      <c r="C24" t="s">
        <v>22</v>
      </c>
      <c r="D24" t="s">
        <v>23</v>
      </c>
      <c r="E24">
        <v>160.944477081298</v>
      </c>
      <c r="F24">
        <v>17</v>
      </c>
      <c r="I24" t="str">
        <f>CONCATENATE($I$1,"5")</f>
        <v>pard400_5</v>
      </c>
      <c r="J24">
        <v>6</v>
      </c>
      <c r="K24" s="1">
        <f t="shared" si="0"/>
        <v>11.066103935241699</v>
      </c>
      <c r="L24">
        <f t="shared" si="1"/>
        <v>5100</v>
      </c>
      <c r="M24">
        <f t="shared" si="2"/>
        <v>658</v>
      </c>
      <c r="N24" s="1">
        <f t="shared" si="8"/>
        <v>11.41161013</v>
      </c>
      <c r="O24">
        <f t="shared" si="9"/>
        <v>4793</v>
      </c>
      <c r="P24">
        <f t="shared" si="10"/>
        <v>586</v>
      </c>
      <c r="Q24" s="1">
        <f t="shared" si="11"/>
        <v>23.782409909999998</v>
      </c>
      <c r="R24">
        <f t="shared" si="12"/>
        <v>3363</v>
      </c>
      <c r="S24">
        <f t="shared" si="13"/>
        <v>363</v>
      </c>
      <c r="T24">
        <f t="shared" si="3"/>
        <v>600.01949810981705</v>
      </c>
      <c r="U24">
        <f t="shared" si="4"/>
        <v>94</v>
      </c>
      <c r="W24">
        <f t="shared" si="5"/>
        <v>1</v>
      </c>
      <c r="X24">
        <f t="shared" si="6"/>
        <v>1</v>
      </c>
      <c r="Z24" t="str">
        <f>CONCATENATE(I24," &amp; ",J24, " &amp; ", ROUND(K24,2), " &amp; ", L24, " &amp; ", M24, " &amp; ",  ROUND(N24,2), " &amp; ", O24, " &amp; ", P24, " &amp; ", ROUND(Q24,2), " &amp; ", R24, " &amp; ", S24, " &amp; ",  ROUND(T24,2), " &amp; ", U24, "\\")</f>
        <v>pard400_5 &amp; 6 &amp; 11.07 &amp; 5100 &amp; 658 &amp; 11.41 &amp; 4793 &amp; 586 &amp; 23.78 &amp; 3363 &amp; 363 &amp; 600.02 &amp; 94\\</v>
      </c>
    </row>
    <row r="25" spans="1:26" hidden="1" x14ac:dyDescent="0.2">
      <c r="A25" t="s">
        <v>0</v>
      </c>
      <c r="B25" t="s">
        <v>14</v>
      </c>
      <c r="C25" t="s">
        <v>15</v>
      </c>
      <c r="D25" t="s">
        <v>16</v>
      </c>
      <c r="E25" t="s">
        <v>17</v>
      </c>
      <c r="F25" t="s">
        <v>18</v>
      </c>
      <c r="G25" t="s">
        <v>19</v>
      </c>
      <c r="I25" t="str">
        <f t="shared" ref="I25:I28" si="21">CONCATENATE($I$1,"5")</f>
        <v>pard400_5</v>
      </c>
      <c r="J25">
        <v>8</v>
      </c>
      <c r="K25" s="1">
        <f t="shared" si="0"/>
        <v>17.4183299541473</v>
      </c>
      <c r="L25">
        <f t="shared" si="1"/>
        <v>12061</v>
      </c>
      <c r="M25">
        <f t="shared" si="2"/>
        <v>939</v>
      </c>
      <c r="N25" s="1">
        <f t="shared" si="8"/>
        <v>20.968368049999999</v>
      </c>
      <c r="O25">
        <f t="shared" si="9"/>
        <v>9459</v>
      </c>
      <c r="P25">
        <f t="shared" si="10"/>
        <v>811</v>
      </c>
      <c r="Q25" s="1">
        <f t="shared" si="11"/>
        <v>35.32733202</v>
      </c>
      <c r="R25">
        <f t="shared" si="12"/>
        <v>6300</v>
      </c>
      <c r="S25">
        <f t="shared" si="13"/>
        <v>507</v>
      </c>
      <c r="T25">
        <f t="shared" si="3"/>
        <v>600.00311708450295</v>
      </c>
      <c r="U25">
        <f t="shared" si="4"/>
        <v>94</v>
      </c>
      <c r="W25">
        <f t="shared" si="5"/>
        <v>1</v>
      </c>
      <c r="X25">
        <f t="shared" si="6"/>
        <v>1</v>
      </c>
      <c r="Z25" t="str">
        <f t="shared" ref="Z25:Z27" si="22">CONCATENATE(I25," &amp; ",J25, " &amp; ", ROUND(K25,2), " &amp; ", L25, " &amp; ", M25, " &amp; ",  ROUND(N25,2), " &amp; ", O25, " &amp; ", P25, " &amp; ", ROUND(Q25,2), " &amp; ", R25, " &amp; ", S25, " &amp; ",  ROUND(T25,2), " &amp; ", U25, "\\")</f>
        <v>pard400_5 &amp; 8 &amp; 17.42 &amp; 12061 &amp; 939 &amp; 20.97 &amp; 9459 &amp; 811 &amp; 35.33 &amp; 6300 &amp; 507 &amp; 600 &amp; 94\\</v>
      </c>
    </row>
    <row r="26" spans="1:26" x14ac:dyDescent="0.2">
      <c r="A26" t="s">
        <v>47</v>
      </c>
      <c r="B26">
        <v>8</v>
      </c>
      <c r="C26" t="s">
        <v>21</v>
      </c>
      <c r="D26" t="s">
        <v>1</v>
      </c>
      <c r="E26">
        <v>0.310292959213256</v>
      </c>
      <c r="F26">
        <v>227</v>
      </c>
      <c r="G26">
        <v>24</v>
      </c>
      <c r="I26" t="str">
        <f t="shared" si="21"/>
        <v>pard400_5</v>
      </c>
      <c r="J26">
        <v>10</v>
      </c>
      <c r="K26" s="1">
        <f t="shared" si="0"/>
        <v>213.68456006050101</v>
      </c>
      <c r="L26">
        <f t="shared" si="1"/>
        <v>74592</v>
      </c>
      <c r="M26">
        <f t="shared" si="2"/>
        <v>2312</v>
      </c>
      <c r="N26" s="1">
        <f t="shared" si="8"/>
        <v>175.8642399</v>
      </c>
      <c r="O26">
        <f t="shared" si="9"/>
        <v>73744</v>
      </c>
      <c r="P26">
        <f t="shared" si="10"/>
        <v>1933</v>
      </c>
      <c r="Q26" s="1">
        <f t="shared" si="11"/>
        <v>100.5862391</v>
      </c>
      <c r="R26">
        <f t="shared" si="12"/>
        <v>42379</v>
      </c>
      <c r="S26">
        <f t="shared" si="13"/>
        <v>1184</v>
      </c>
      <c r="T26">
        <f t="shared" si="3"/>
        <v>600.01031184196404</v>
      </c>
      <c r="U26">
        <f t="shared" si="4"/>
        <v>89</v>
      </c>
      <c r="W26">
        <f t="shared" si="5"/>
        <v>1</v>
      </c>
      <c r="X26">
        <f t="shared" si="6"/>
        <v>1</v>
      </c>
      <c r="Z26" t="str">
        <f t="shared" si="22"/>
        <v>pard400_5 &amp; 10 &amp; 213.68 &amp; 74592 &amp; 2312 &amp; 175.86 &amp; 73744 &amp; 1933 &amp; 100.59 &amp; 42379 &amp; 1184 &amp; 600.01 &amp; 89\\</v>
      </c>
    </row>
    <row r="27" spans="1:26" hidden="1" x14ac:dyDescent="0.2">
      <c r="A27" t="s">
        <v>0</v>
      </c>
      <c r="B27" t="s">
        <v>14</v>
      </c>
      <c r="C27" t="s">
        <v>15</v>
      </c>
      <c r="D27" t="s">
        <v>16</v>
      </c>
      <c r="E27" t="s">
        <v>17</v>
      </c>
      <c r="I27" t="str">
        <f t="shared" si="21"/>
        <v>pard400_5</v>
      </c>
      <c r="J27">
        <v>12</v>
      </c>
      <c r="K27" s="1">
        <f t="shared" si="0"/>
        <v>9.28893995285034</v>
      </c>
      <c r="L27">
        <f t="shared" si="1"/>
        <v>9724</v>
      </c>
      <c r="M27">
        <f t="shared" si="2"/>
        <v>272</v>
      </c>
      <c r="N27" s="1">
        <f t="shared" si="8"/>
        <v>4.1288218499999996</v>
      </c>
      <c r="O27">
        <f t="shared" si="9"/>
        <v>2538</v>
      </c>
      <c r="P27">
        <f t="shared" si="10"/>
        <v>105</v>
      </c>
      <c r="Q27" s="1">
        <f t="shared" si="11"/>
        <v>19.904484029999999</v>
      </c>
      <c r="R27">
        <f t="shared" si="12"/>
        <v>765</v>
      </c>
      <c r="S27">
        <f t="shared" si="13"/>
        <v>59</v>
      </c>
      <c r="T27">
        <f t="shared" si="3"/>
        <v>485.41871404647799</v>
      </c>
      <c r="U27">
        <f t="shared" si="4"/>
        <v>95</v>
      </c>
      <c r="W27">
        <f t="shared" si="5"/>
        <v>1</v>
      </c>
      <c r="X27">
        <f t="shared" si="6"/>
        <v>1</v>
      </c>
      <c r="Z27" t="str">
        <f t="shared" si="22"/>
        <v>pard400_5 &amp; 12 &amp; 9.29 &amp; 9724 &amp; 272 &amp; 4.13 &amp; 2538 &amp; 105 &amp; 19.9 &amp; 765 &amp; 59 &amp; 485.42 &amp; 95\\</v>
      </c>
    </row>
    <row r="28" spans="1:26" hidden="1" x14ac:dyDescent="0.2">
      <c r="A28" t="s">
        <v>47</v>
      </c>
      <c r="B28">
        <v>8</v>
      </c>
      <c r="C28" t="s">
        <v>22</v>
      </c>
      <c r="D28" t="s">
        <v>23</v>
      </c>
      <c r="E28">
        <v>350.88988184928797</v>
      </c>
      <c r="F28">
        <v>53</v>
      </c>
      <c r="I28" t="str">
        <f t="shared" si="21"/>
        <v>pard400_5</v>
      </c>
      <c r="J28">
        <v>400</v>
      </c>
      <c r="K28" s="1">
        <f t="shared" si="0"/>
        <v>17.161946058273301</v>
      </c>
      <c r="L28">
        <f t="shared" si="1"/>
        <v>15746</v>
      </c>
      <c r="M28">
        <f t="shared" si="2"/>
        <v>306</v>
      </c>
      <c r="N28" s="1">
        <f t="shared" si="8"/>
        <v>19.328453060000001</v>
      </c>
      <c r="O28">
        <f t="shared" si="9"/>
        <v>12315</v>
      </c>
      <c r="P28">
        <f t="shared" si="10"/>
        <v>235</v>
      </c>
      <c r="Q28" s="1">
        <f t="shared" si="11"/>
        <v>38.459146019999999</v>
      </c>
      <c r="R28">
        <f t="shared" si="12"/>
        <v>9137</v>
      </c>
      <c r="S28">
        <f t="shared" si="13"/>
        <v>244</v>
      </c>
      <c r="T28">
        <f t="shared" si="3"/>
        <v>600.01257205009404</v>
      </c>
      <c r="U28">
        <f t="shared" si="4"/>
        <v>70</v>
      </c>
      <c r="W28">
        <f t="shared" si="5"/>
        <v>1</v>
      </c>
      <c r="X28">
        <f t="shared" si="6"/>
        <v>1</v>
      </c>
      <c r="Z28" t="str">
        <f>CONCATENATE(I28," &amp; ","nc", " &amp; ", ROUND(K28,2), " &amp; ", L28, " &amp; ", M28, " &amp; ",  ROUND(N28,2), " &amp; ", O28, " &amp; ", P28, " &amp; ", ROUND(Q28,2), " &amp; ", R28, " &amp; ", S28, " &amp; ",  ROUND(T28,2), " &amp; ", U28, "\\")</f>
        <v>pard400_5 &amp; nc &amp; 17.16 &amp; 15746 &amp; 306 &amp; 19.33 &amp; 12315 &amp; 235 &amp; 38.46 &amp; 9137 &amp; 244 &amp; 600.01 &amp; 70\\</v>
      </c>
    </row>
    <row r="29" spans="1:26" hidden="1" x14ac:dyDescent="0.2">
      <c r="A29" t="s">
        <v>0</v>
      </c>
      <c r="B29" t="s">
        <v>14</v>
      </c>
      <c r="C29" t="s">
        <v>15</v>
      </c>
      <c r="D29" t="s">
        <v>16</v>
      </c>
      <c r="E29" t="s">
        <v>17</v>
      </c>
      <c r="F29" t="s">
        <v>18</v>
      </c>
      <c r="G29" t="s">
        <v>19</v>
      </c>
      <c r="I29" t="str">
        <f>CONCATENATE($I$1,"6")</f>
        <v>pard400_6</v>
      </c>
      <c r="J29">
        <v>6</v>
      </c>
      <c r="K29" s="1">
        <f t="shared" si="0"/>
        <v>0.27449297904968201</v>
      </c>
      <c r="L29">
        <f t="shared" si="1"/>
        <v>116</v>
      </c>
      <c r="M29">
        <f t="shared" si="2"/>
        <v>30</v>
      </c>
      <c r="N29" s="1">
        <f t="shared" si="8"/>
        <v>0.24815487899999999</v>
      </c>
      <c r="O29">
        <f t="shared" si="9"/>
        <v>32</v>
      </c>
      <c r="P29">
        <f t="shared" si="10"/>
        <v>9</v>
      </c>
      <c r="Q29" s="1">
        <f t="shared" si="11"/>
        <v>6.3375780580000001</v>
      </c>
      <c r="R29">
        <f t="shared" si="12"/>
        <v>37</v>
      </c>
      <c r="S29">
        <f t="shared" si="13"/>
        <v>6</v>
      </c>
      <c r="T29">
        <f t="shared" si="3"/>
        <v>356.150092124938</v>
      </c>
      <c r="U29">
        <f t="shared" si="4"/>
        <v>61</v>
      </c>
      <c r="W29">
        <f t="shared" si="5"/>
        <v>1</v>
      </c>
      <c r="X29">
        <f t="shared" si="6"/>
        <v>1</v>
      </c>
      <c r="Z29" t="str">
        <f>CONCATENATE(I29," &amp; ",J29, " &amp; ", ROUND(K29,2), " &amp; ", L29, " &amp; ", M29, " &amp; ",  ROUND(N29,2), " &amp; ", O29, " &amp; ", P29, " &amp; ", ROUND(Q29,2), " &amp; ", R29, " &amp; ", S29, " &amp; ",  ROUND(T29,2), " &amp; ", U29, "\\")</f>
        <v>pard400_6 &amp; 6 &amp; 0.27 &amp; 116 &amp; 30 &amp; 0.25 &amp; 32 &amp; 9 &amp; 6.34 &amp; 37 &amp; 6 &amp; 356.15 &amp; 61\\</v>
      </c>
    </row>
    <row r="30" spans="1:26" hidden="1" x14ac:dyDescent="0.2">
      <c r="A30" t="s">
        <v>47</v>
      </c>
      <c r="B30">
        <v>10</v>
      </c>
      <c r="C30" t="s">
        <v>21</v>
      </c>
      <c r="D30" t="s">
        <v>1</v>
      </c>
      <c r="E30">
        <v>0.137103080749511</v>
      </c>
      <c r="F30">
        <v>87</v>
      </c>
      <c r="G30">
        <v>10</v>
      </c>
      <c r="I30" t="str">
        <f t="shared" ref="I30:I33" si="23">CONCATENATE($I$1,"6")</f>
        <v>pard400_6</v>
      </c>
      <c r="J30">
        <v>8</v>
      </c>
      <c r="K30" s="1">
        <f t="shared" si="0"/>
        <v>0.16572189331054599</v>
      </c>
      <c r="L30">
        <f t="shared" si="1"/>
        <v>92</v>
      </c>
      <c r="M30">
        <f t="shared" si="2"/>
        <v>15</v>
      </c>
      <c r="N30" s="1">
        <f t="shared" si="8"/>
        <v>6.4742088000000003E-2</v>
      </c>
      <c r="O30">
        <f t="shared" si="9"/>
        <v>0</v>
      </c>
      <c r="P30">
        <f t="shared" si="10"/>
        <v>2</v>
      </c>
      <c r="Q30" s="1">
        <f t="shared" si="11"/>
        <v>8.0514907999999996E-2</v>
      </c>
      <c r="R30">
        <f t="shared" si="12"/>
        <v>0</v>
      </c>
      <c r="S30">
        <f t="shared" si="13"/>
        <v>2</v>
      </c>
      <c r="T30">
        <f t="shared" si="3"/>
        <v>208.43522214889501</v>
      </c>
      <c r="U30">
        <f t="shared" si="4"/>
        <v>33</v>
      </c>
      <c r="W30">
        <f t="shared" si="5"/>
        <v>1</v>
      </c>
      <c r="X30">
        <f t="shared" si="6"/>
        <v>1</v>
      </c>
      <c r="Z30" t="str">
        <f t="shared" ref="Z30:Z32" si="24">CONCATENATE(I30," &amp; ",J30, " &amp; ", ROUND(K30,2), " &amp; ", L30, " &amp; ", M30, " &amp; ",  ROUND(N30,2), " &amp; ", O30, " &amp; ", P30, " &amp; ", ROUND(Q30,2), " &amp; ", R30, " &amp; ", S30, " &amp; ",  ROUND(T30,2), " &amp; ", U30, "\\")</f>
        <v>pard400_6 &amp; 8 &amp; 0.17 &amp; 92 &amp; 15 &amp; 0.06 &amp; 0 &amp; 2 &amp; 0.08 &amp; 0 &amp; 2 &amp; 208.44 &amp; 33\\</v>
      </c>
    </row>
    <row r="31" spans="1:26" x14ac:dyDescent="0.2">
      <c r="A31" t="s">
        <v>0</v>
      </c>
      <c r="B31" t="s">
        <v>14</v>
      </c>
      <c r="C31" t="s">
        <v>15</v>
      </c>
      <c r="D31" t="s">
        <v>16</v>
      </c>
      <c r="E31" t="s">
        <v>17</v>
      </c>
      <c r="I31" t="str">
        <f t="shared" si="23"/>
        <v>pard400_6</v>
      </c>
      <c r="J31">
        <v>10</v>
      </c>
      <c r="K31" s="1">
        <f t="shared" si="0"/>
        <v>0.42457509040832497</v>
      </c>
      <c r="L31">
        <f t="shared" si="1"/>
        <v>317</v>
      </c>
      <c r="M31">
        <f t="shared" si="2"/>
        <v>36</v>
      </c>
      <c r="N31" s="1">
        <f t="shared" si="8"/>
        <v>0.18231391899999999</v>
      </c>
      <c r="O31">
        <f t="shared" si="9"/>
        <v>44</v>
      </c>
      <c r="P31">
        <f t="shared" si="10"/>
        <v>9</v>
      </c>
      <c r="Q31" s="1">
        <f t="shared" si="11"/>
        <v>4.8068690299999997</v>
      </c>
      <c r="R31">
        <f t="shared" si="12"/>
        <v>18</v>
      </c>
      <c r="S31">
        <f t="shared" si="13"/>
        <v>2</v>
      </c>
      <c r="T31">
        <f t="shared" si="3"/>
        <v>200.95025515556301</v>
      </c>
      <c r="U31">
        <f t="shared" si="4"/>
        <v>33</v>
      </c>
      <c r="W31">
        <f t="shared" si="5"/>
        <v>1</v>
      </c>
      <c r="X31">
        <f t="shared" si="6"/>
        <v>1</v>
      </c>
      <c r="Z31" t="str">
        <f t="shared" si="24"/>
        <v>pard400_6 &amp; 10 &amp; 0.42 &amp; 317 &amp; 36 &amp; 0.18 &amp; 44 &amp; 9 &amp; 4.81 &amp; 18 &amp; 2 &amp; 200.95 &amp; 33\\</v>
      </c>
    </row>
    <row r="32" spans="1:26" hidden="1" x14ac:dyDescent="0.2">
      <c r="A32" t="s">
        <v>47</v>
      </c>
      <c r="B32">
        <v>10</v>
      </c>
      <c r="C32" t="s">
        <v>22</v>
      </c>
      <c r="D32" t="s">
        <v>23</v>
      </c>
      <c r="E32">
        <v>178.225980043411</v>
      </c>
      <c r="F32">
        <v>23</v>
      </c>
      <c r="I32" t="str">
        <f t="shared" si="23"/>
        <v>pard400_6</v>
      </c>
      <c r="J32">
        <v>12</v>
      </c>
      <c r="K32" s="1">
        <f t="shared" si="0"/>
        <v>4.7964880466461102</v>
      </c>
      <c r="L32">
        <f t="shared" si="1"/>
        <v>7491</v>
      </c>
      <c r="M32">
        <f t="shared" si="2"/>
        <v>76</v>
      </c>
      <c r="N32" s="1">
        <f t="shared" si="8"/>
        <v>0.90972399699999995</v>
      </c>
      <c r="O32">
        <f t="shared" si="9"/>
        <v>545</v>
      </c>
      <c r="P32">
        <f t="shared" si="10"/>
        <v>22</v>
      </c>
      <c r="Q32" s="1">
        <f t="shared" si="11"/>
        <v>19.21055102</v>
      </c>
      <c r="R32">
        <f t="shared" si="12"/>
        <v>324</v>
      </c>
      <c r="S32">
        <f t="shared" si="13"/>
        <v>15</v>
      </c>
      <c r="T32">
        <f t="shared" si="3"/>
        <v>600.005126953125</v>
      </c>
      <c r="U32">
        <f t="shared" si="4"/>
        <v>97</v>
      </c>
      <c r="W32">
        <f t="shared" si="5"/>
        <v>1</v>
      </c>
      <c r="X32">
        <f t="shared" si="6"/>
        <v>1</v>
      </c>
      <c r="Z32" t="str">
        <f t="shared" si="24"/>
        <v>pard400_6 &amp; 12 &amp; 4.8 &amp; 7491 &amp; 76 &amp; 0.91 &amp; 545 &amp; 22 &amp; 19.21 &amp; 324 &amp; 15 &amp; 600.01 &amp; 97\\</v>
      </c>
    </row>
    <row r="33" spans="1:26" hidden="1" x14ac:dyDescent="0.2">
      <c r="A33" t="s">
        <v>0</v>
      </c>
      <c r="B33" t="s">
        <v>14</v>
      </c>
      <c r="C33" t="s">
        <v>15</v>
      </c>
      <c r="D33" t="s">
        <v>16</v>
      </c>
      <c r="E33" t="s">
        <v>17</v>
      </c>
      <c r="F33" t="s">
        <v>18</v>
      </c>
      <c r="G33" t="s">
        <v>19</v>
      </c>
      <c r="I33" t="str">
        <f t="shared" si="23"/>
        <v>pard400_6</v>
      </c>
      <c r="J33">
        <v>400</v>
      </c>
      <c r="K33" s="1">
        <f t="shared" si="0"/>
        <v>5.4029221534729004</v>
      </c>
      <c r="L33">
        <f t="shared" si="1"/>
        <v>8154</v>
      </c>
      <c r="M33">
        <f t="shared" si="2"/>
        <v>82</v>
      </c>
      <c r="N33" s="3">
        <f t="shared" si="8"/>
        <v>1.3601500989999999</v>
      </c>
      <c r="O33" s="2">
        <f t="shared" si="9"/>
        <v>654</v>
      </c>
      <c r="P33" s="2">
        <f t="shared" si="10"/>
        <v>17</v>
      </c>
      <c r="Q33" s="3">
        <f t="shared" si="11"/>
        <v>19.444469210000001</v>
      </c>
      <c r="R33">
        <f t="shared" si="12"/>
        <v>372</v>
      </c>
      <c r="S33">
        <f t="shared" si="13"/>
        <v>15</v>
      </c>
      <c r="T33">
        <f t="shared" si="3"/>
        <v>600.02087306976296</v>
      </c>
      <c r="U33">
        <f t="shared" si="4"/>
        <v>83</v>
      </c>
      <c r="W33">
        <f t="shared" si="5"/>
        <v>1</v>
      </c>
      <c r="X33">
        <f t="shared" si="6"/>
        <v>1</v>
      </c>
      <c r="Z33" t="str">
        <f>CONCATENATE(I33," &amp; ","nc", " &amp; ", ROUND(K33,2), " &amp; ", L33, " &amp; ", M33, " &amp; ",  ROUND(N33,2), " &amp; ", O33, " &amp; ", P33, " &amp; ", ROUND(Q33,2), " &amp; ", R33, " &amp; ", S33, " &amp; ",  ROUND(T33,2), " &amp; ", U33, "\\")</f>
        <v>pard400_6 &amp; nc &amp; 5.4 &amp; 8154 &amp; 82 &amp; 1.36 &amp; 654 &amp; 17 &amp; 19.44 &amp; 372 &amp; 15 &amp; 600.02 &amp; 83\\</v>
      </c>
    </row>
    <row r="34" spans="1:26" hidden="1" x14ac:dyDescent="0.2">
      <c r="A34" t="s">
        <v>47</v>
      </c>
      <c r="B34">
        <v>12</v>
      </c>
      <c r="C34" t="s">
        <v>21</v>
      </c>
      <c r="D34" t="s">
        <v>1</v>
      </c>
      <c r="E34">
        <v>0.122168064117431</v>
      </c>
      <c r="F34">
        <v>54</v>
      </c>
      <c r="G34">
        <v>6</v>
      </c>
      <c r="I34" t="str">
        <f>CONCATENATE($I$1,"7")</f>
        <v>pard400_7</v>
      </c>
      <c r="J34">
        <v>6</v>
      </c>
      <c r="K34" s="1">
        <f t="shared" si="0"/>
        <v>48.052893161773603</v>
      </c>
      <c r="L34">
        <f t="shared" si="1"/>
        <v>16104</v>
      </c>
      <c r="M34">
        <f t="shared" si="2"/>
        <v>2514</v>
      </c>
      <c r="N34" s="3">
        <f t="shared" si="8"/>
        <v>90.723731040000004</v>
      </c>
      <c r="O34" s="2">
        <f t="shared" si="9"/>
        <v>12485</v>
      </c>
      <c r="P34" s="2">
        <f t="shared" si="10"/>
        <v>2376</v>
      </c>
      <c r="Q34" s="3">
        <f t="shared" si="11"/>
        <v>122.53656580000001</v>
      </c>
      <c r="R34">
        <f t="shared" si="12"/>
        <v>14128</v>
      </c>
      <c r="S34">
        <f t="shared" si="13"/>
        <v>2233</v>
      </c>
      <c r="T34">
        <f t="shared" si="3"/>
        <v>600.023108959198</v>
      </c>
      <c r="U34">
        <f t="shared" si="4"/>
        <v>98</v>
      </c>
      <c r="W34">
        <f t="shared" si="5"/>
        <v>1</v>
      </c>
      <c r="X34">
        <f t="shared" si="6"/>
        <v>1</v>
      </c>
      <c r="Z34" t="str">
        <f>CONCATENATE(I34," &amp; ",J34, " &amp; ", ROUND(K34,2), " &amp; ", L34, " &amp; ", M34, " &amp; ",  ROUND(N34,2), " &amp; ", O34, " &amp; ", P34, " &amp; ", ROUND(Q34,2), " &amp; ", R34, " &amp; ", S34, " &amp; ",  ROUND(T34,2), " &amp; ", U34, "\\")</f>
        <v>pard400_7 &amp; 6 &amp; 48.05 &amp; 16104 &amp; 2514 &amp; 90.72 &amp; 12485 &amp; 2376 &amp; 122.54 &amp; 14128 &amp; 2233 &amp; 600.02 &amp; 98\\</v>
      </c>
    </row>
    <row r="35" spans="1:26" hidden="1" x14ac:dyDescent="0.2">
      <c r="A35" t="s">
        <v>0</v>
      </c>
      <c r="B35" t="s">
        <v>14</v>
      </c>
      <c r="C35" t="s">
        <v>15</v>
      </c>
      <c r="D35" t="s">
        <v>16</v>
      </c>
      <c r="E35" t="s">
        <v>17</v>
      </c>
      <c r="I35" t="str">
        <f t="shared" ref="I35:I38" si="25">CONCATENATE($I$1,"7")</f>
        <v>pard400_7</v>
      </c>
      <c r="J35">
        <v>8</v>
      </c>
      <c r="K35" s="1">
        <f t="shared" si="0"/>
        <v>114.02957892417901</v>
      </c>
      <c r="L35">
        <f t="shared" si="1"/>
        <v>39645</v>
      </c>
      <c r="M35">
        <f t="shared" si="2"/>
        <v>3412</v>
      </c>
      <c r="N35" s="3">
        <f t="shared" si="8"/>
        <v>178.2809589</v>
      </c>
      <c r="O35" s="2">
        <f t="shared" si="9"/>
        <v>30109</v>
      </c>
      <c r="P35" s="2">
        <f t="shared" si="10"/>
        <v>3224</v>
      </c>
      <c r="Q35" s="3">
        <f t="shared" si="11"/>
        <v>194.19894310000001</v>
      </c>
      <c r="R35">
        <f t="shared" si="12"/>
        <v>27801</v>
      </c>
      <c r="S35">
        <f t="shared" si="13"/>
        <v>2819</v>
      </c>
      <c r="T35">
        <f t="shared" si="3"/>
        <v>600.030861854553</v>
      </c>
      <c r="U35">
        <f t="shared" si="4"/>
        <v>86</v>
      </c>
      <c r="W35">
        <f t="shared" si="5"/>
        <v>1</v>
      </c>
      <c r="X35">
        <f t="shared" si="6"/>
        <v>1</v>
      </c>
      <c r="Z35" t="str">
        <f t="shared" ref="Z35:Z37" si="26">CONCATENATE(I35," &amp; ",J35, " &amp; ", ROUND(K35,2), " &amp; ", L35, " &amp; ", M35, " &amp; ",  ROUND(N35,2), " &amp; ", O35, " &amp; ", P35, " &amp; ", ROUND(Q35,2), " &amp; ", R35, " &amp; ", S35, " &amp; ",  ROUND(T35,2), " &amp; ", U35, "\\")</f>
        <v>pard400_7 &amp; 8 &amp; 114.03 &amp; 39645 &amp; 3412 &amp; 178.28 &amp; 30109 &amp; 3224 &amp; 194.2 &amp; 27801 &amp; 2819 &amp; 600.03 &amp; 86\\</v>
      </c>
    </row>
    <row r="36" spans="1:26" x14ac:dyDescent="0.2">
      <c r="A36" t="s">
        <v>47</v>
      </c>
      <c r="B36">
        <v>12</v>
      </c>
      <c r="C36" t="s">
        <v>22</v>
      </c>
      <c r="D36" t="s">
        <v>23</v>
      </c>
      <c r="E36">
        <v>600.016723155975</v>
      </c>
      <c r="F36">
        <v>69</v>
      </c>
      <c r="I36" t="str">
        <f t="shared" si="25"/>
        <v>pard400_7</v>
      </c>
      <c r="J36">
        <v>10</v>
      </c>
      <c r="K36" s="1">
        <f t="shared" ref="K36:K53" si="27">SUMIFS(E:E,D:D,"OA",B:B,J36,A:A,I36)</f>
        <v>31.5122261047363</v>
      </c>
      <c r="L36">
        <f t="shared" ref="L36:L53" si="28">SUMIFS(F:F,A:A,I36,B:B,J36,D:D,"OA")</f>
        <v>21063</v>
      </c>
      <c r="M36">
        <f t="shared" ref="M36:M53" si="29">SUMIFS(G:G,D:D,"OA",A:A,I36,B:B,J36)</f>
        <v>1304</v>
      </c>
      <c r="N36" s="3">
        <f t="shared" si="8"/>
        <v>35.48562312</v>
      </c>
      <c r="O36" s="2">
        <f t="shared" si="9"/>
        <v>19670</v>
      </c>
      <c r="P36" s="2">
        <f t="shared" si="10"/>
        <v>985</v>
      </c>
      <c r="Q36" s="3">
        <f t="shared" si="11"/>
        <v>32.944952010000002</v>
      </c>
      <c r="R36">
        <f t="shared" si="12"/>
        <v>8230</v>
      </c>
      <c r="S36">
        <f t="shared" si="13"/>
        <v>497</v>
      </c>
      <c r="T36">
        <f t="shared" ref="T36:T53" si="30">SUMIFS(E:E,A:A,I36,B:B,J36,D:D,"CPLEX MISOCP")</f>
        <v>600.01746606826703</v>
      </c>
      <c r="U36">
        <f t="shared" ref="U36:U53" si="31">SUMIFS(F:F,A:A,I36,B:B,J36,D:D,"CPLEX MISOCP")</f>
        <v>86</v>
      </c>
      <c r="W36">
        <f t="shared" ref="W36:W53" si="32">COUNTIFS(D:D,"OA",B:B,J36,A:A,I36)</f>
        <v>1</v>
      </c>
      <c r="X36">
        <f t="shared" ref="X36:X53" si="33">COUNTIFS(D:D,"CPLEX MISOCP",B:B,J36,A:A,I36)</f>
        <v>1</v>
      </c>
      <c r="Z36" t="str">
        <f t="shared" si="26"/>
        <v>pard400_7 &amp; 10 &amp; 31.51 &amp; 21063 &amp; 1304 &amp; 35.49 &amp; 19670 &amp; 985 &amp; 32.94 &amp; 8230 &amp; 497 &amp; 600.02 &amp; 86\\</v>
      </c>
    </row>
    <row r="37" spans="1:26" hidden="1" x14ac:dyDescent="0.2">
      <c r="A37" t="s">
        <v>0</v>
      </c>
      <c r="B37" t="s">
        <v>14</v>
      </c>
      <c r="C37" t="s">
        <v>15</v>
      </c>
      <c r="D37" t="s">
        <v>16</v>
      </c>
      <c r="E37" t="s">
        <v>17</v>
      </c>
      <c r="F37" t="s">
        <v>18</v>
      </c>
      <c r="G37" t="s">
        <v>19</v>
      </c>
      <c r="I37" t="str">
        <f t="shared" si="25"/>
        <v>pard400_7</v>
      </c>
      <c r="J37">
        <v>12</v>
      </c>
      <c r="K37" s="1">
        <f t="shared" si="27"/>
        <v>1.3801081180572501</v>
      </c>
      <c r="L37">
        <f t="shared" si="28"/>
        <v>1567</v>
      </c>
      <c r="M37">
        <f t="shared" si="29"/>
        <v>70</v>
      </c>
      <c r="N37" s="1">
        <f t="shared" si="8"/>
        <v>0.42065382000000001</v>
      </c>
      <c r="O37">
        <f t="shared" si="9"/>
        <v>164</v>
      </c>
      <c r="P37">
        <f t="shared" si="10"/>
        <v>13</v>
      </c>
      <c r="Q37" s="1">
        <f t="shared" si="11"/>
        <v>12.629801990000001</v>
      </c>
      <c r="R37">
        <f t="shared" si="12"/>
        <v>60</v>
      </c>
      <c r="S37">
        <f t="shared" si="13"/>
        <v>5</v>
      </c>
      <c r="T37">
        <f t="shared" si="30"/>
        <v>169.48446893692</v>
      </c>
      <c r="U37">
        <f t="shared" si="31"/>
        <v>25</v>
      </c>
      <c r="W37">
        <f t="shared" si="32"/>
        <v>1</v>
      </c>
      <c r="X37">
        <f t="shared" si="33"/>
        <v>1</v>
      </c>
      <c r="Z37" t="str">
        <f t="shared" si="26"/>
        <v>pard400_7 &amp; 12 &amp; 1.38 &amp; 1567 &amp; 70 &amp; 0.42 &amp; 164 &amp; 13 &amp; 12.63 &amp; 60 &amp; 5 &amp; 169.48 &amp; 25\\</v>
      </c>
    </row>
    <row r="38" spans="1:26" hidden="1" x14ac:dyDescent="0.2">
      <c r="A38" t="s">
        <v>47</v>
      </c>
      <c r="B38">
        <v>400</v>
      </c>
      <c r="C38" t="s">
        <v>21</v>
      </c>
      <c r="D38" t="s">
        <v>1</v>
      </c>
      <c r="E38">
        <v>0.124279022216796</v>
      </c>
      <c r="F38">
        <v>52</v>
      </c>
      <c r="G38">
        <v>5</v>
      </c>
      <c r="I38" t="str">
        <f t="shared" si="25"/>
        <v>pard400_7</v>
      </c>
      <c r="J38">
        <v>400</v>
      </c>
      <c r="K38" s="1">
        <f t="shared" si="27"/>
        <v>1.7675609588623</v>
      </c>
      <c r="L38">
        <f t="shared" si="28"/>
        <v>2063</v>
      </c>
      <c r="M38">
        <f t="shared" si="29"/>
        <v>83</v>
      </c>
      <c r="N38" s="1">
        <f t="shared" si="8"/>
        <v>2.092519045</v>
      </c>
      <c r="O38">
        <f t="shared" si="9"/>
        <v>1412</v>
      </c>
      <c r="P38">
        <f t="shared" si="10"/>
        <v>64</v>
      </c>
      <c r="Q38" s="1">
        <f t="shared" si="11"/>
        <v>17.733170990000001</v>
      </c>
      <c r="R38">
        <f t="shared" si="12"/>
        <v>893</v>
      </c>
      <c r="S38">
        <f t="shared" si="13"/>
        <v>42</v>
      </c>
      <c r="T38">
        <f t="shared" si="30"/>
        <v>600.01199698448102</v>
      </c>
      <c r="U38">
        <f t="shared" si="31"/>
        <v>61</v>
      </c>
      <c r="W38">
        <f t="shared" si="32"/>
        <v>1</v>
      </c>
      <c r="X38">
        <f t="shared" si="33"/>
        <v>1</v>
      </c>
      <c r="Z38" t="str">
        <f>CONCATENATE(I38," &amp; ","nc", " &amp; ", ROUND(K38,2), " &amp; ", L38, " &amp; ", M38, " &amp; ",  ROUND(N38,2), " &amp; ", O38, " &amp; ", P38, " &amp; ", ROUND(Q38,2), " &amp; ", R38, " &amp; ", S38, " &amp; ",  ROUND(T38,2), " &amp; ", U38, "\\")</f>
        <v>pard400_7 &amp; nc &amp; 1.77 &amp; 2063 &amp; 83 &amp; 2.09 &amp; 1412 &amp; 64 &amp; 17.73 &amp; 893 &amp; 42 &amp; 600.01 &amp; 61\\</v>
      </c>
    </row>
    <row r="39" spans="1:26" hidden="1" x14ac:dyDescent="0.2">
      <c r="A39" t="s">
        <v>0</v>
      </c>
      <c r="B39" t="s">
        <v>14</v>
      </c>
      <c r="C39" t="s">
        <v>15</v>
      </c>
      <c r="D39" t="s">
        <v>16</v>
      </c>
      <c r="E39" t="s">
        <v>17</v>
      </c>
      <c r="I39" t="str">
        <f>CONCATENATE($I$1,"8")</f>
        <v>pard400_8</v>
      </c>
      <c r="J39">
        <v>6</v>
      </c>
      <c r="K39" s="1">
        <f t="shared" si="27"/>
        <v>118.095201015472</v>
      </c>
      <c r="L39">
        <f t="shared" si="28"/>
        <v>27153</v>
      </c>
      <c r="M39">
        <f t="shared" si="29"/>
        <v>3187</v>
      </c>
      <c r="N39" s="1">
        <f t="shared" si="8"/>
        <v>164.9588401</v>
      </c>
      <c r="O39">
        <f t="shared" si="9"/>
        <v>28202</v>
      </c>
      <c r="P39">
        <f t="shared" si="10"/>
        <v>3025</v>
      </c>
      <c r="Q39" s="1">
        <f t="shared" si="11"/>
        <v>185.07012800000001</v>
      </c>
      <c r="R39">
        <f t="shared" si="12"/>
        <v>24554</v>
      </c>
      <c r="S39">
        <f t="shared" si="13"/>
        <v>2753</v>
      </c>
      <c r="T39">
        <f t="shared" si="30"/>
        <v>600.016120195388</v>
      </c>
      <c r="U39">
        <f t="shared" si="31"/>
        <v>98</v>
      </c>
      <c r="W39">
        <f t="shared" si="32"/>
        <v>1</v>
      </c>
      <c r="X39">
        <f t="shared" si="33"/>
        <v>1</v>
      </c>
      <c r="Z39" t="str">
        <f>CONCATENATE(I39," &amp; ",J39, " &amp; ", ROUND(K39,2), " &amp; ", L39, " &amp; ", M39, " &amp; ",  ROUND(N39,2), " &amp; ", O39, " &amp; ", P39, " &amp; ", ROUND(Q39,2), " &amp; ", R39, " &amp; ", S39, " &amp; ",  ROUND(T39,2), " &amp; ", U39, "\\")</f>
        <v>pard400_8 &amp; 6 &amp; 118.1 &amp; 27153 &amp; 3187 &amp; 164.96 &amp; 28202 &amp; 3025 &amp; 185.07 &amp; 24554 &amp; 2753 &amp; 600.02 &amp; 98\\</v>
      </c>
    </row>
    <row r="40" spans="1:26" hidden="1" x14ac:dyDescent="0.2">
      <c r="A40" t="s">
        <v>47</v>
      </c>
      <c r="B40">
        <v>400</v>
      </c>
      <c r="C40" t="s">
        <v>22</v>
      </c>
      <c r="D40" t="s">
        <v>23</v>
      </c>
      <c r="E40">
        <v>600.02465796470597</v>
      </c>
      <c r="F40">
        <v>70</v>
      </c>
      <c r="I40" t="str">
        <f t="shared" ref="I40:I43" si="34">CONCATENATE($I$1,"8")</f>
        <v>pard400_8</v>
      </c>
      <c r="J40">
        <v>8</v>
      </c>
      <c r="K40" s="1">
        <f t="shared" si="27"/>
        <v>342.823021888732</v>
      </c>
      <c r="L40">
        <f t="shared" si="28"/>
        <v>91061</v>
      </c>
      <c r="M40">
        <f t="shared" si="29"/>
        <v>5120</v>
      </c>
      <c r="N40" s="1">
        <f t="shared" si="8"/>
        <v>335.70228789999999</v>
      </c>
      <c r="O40">
        <f t="shared" si="9"/>
        <v>62252</v>
      </c>
      <c r="P40">
        <f t="shared" si="10"/>
        <v>5377</v>
      </c>
      <c r="Q40" s="1">
        <f t="shared" si="11"/>
        <v>356.20647289999999</v>
      </c>
      <c r="R40">
        <f t="shared" si="12"/>
        <v>58567</v>
      </c>
      <c r="S40">
        <f t="shared" si="13"/>
        <v>4889</v>
      </c>
      <c r="T40">
        <f t="shared" si="30"/>
        <v>600.00565314292896</v>
      </c>
      <c r="U40">
        <f t="shared" si="31"/>
        <v>97</v>
      </c>
      <c r="W40">
        <f t="shared" si="32"/>
        <v>1</v>
      </c>
      <c r="X40">
        <f t="shared" si="33"/>
        <v>1</v>
      </c>
      <c r="Z40" t="str">
        <f t="shared" ref="Z40:Z42" si="35">CONCATENATE(I40," &amp; ",J40, " &amp; ", ROUND(K40,2), " &amp; ", L40, " &amp; ", M40, " &amp; ",  ROUND(N40,2), " &amp; ", O40, " &amp; ", P40, " &amp; ", ROUND(Q40,2), " &amp; ", R40, " &amp; ", S40, " &amp; ",  ROUND(T40,2), " &amp; ", U40, "\\")</f>
        <v>pard400_8 &amp; 8 &amp; 342.82 &amp; 91061 &amp; 5120 &amp; 335.7 &amp; 62252 &amp; 5377 &amp; 356.21 &amp; 58567 &amp; 4889 &amp; 600.01 &amp; 97\\</v>
      </c>
    </row>
    <row r="41" spans="1:26" x14ac:dyDescent="0.2">
      <c r="A41" t="s">
        <v>0</v>
      </c>
      <c r="B41" t="s">
        <v>14</v>
      </c>
      <c r="C41" t="s">
        <v>15</v>
      </c>
      <c r="D41" t="s">
        <v>16</v>
      </c>
      <c r="E41" t="s">
        <v>17</v>
      </c>
      <c r="F41" t="s">
        <v>18</v>
      </c>
      <c r="G41" t="s">
        <v>19</v>
      </c>
      <c r="I41" t="str">
        <f t="shared" si="34"/>
        <v>pard400_8</v>
      </c>
      <c r="J41">
        <v>10</v>
      </c>
      <c r="K41" s="1">
        <f t="shared" si="27"/>
        <v>229.33143305778501</v>
      </c>
      <c r="L41">
        <f t="shared" si="28"/>
        <v>113158</v>
      </c>
      <c r="M41">
        <f t="shared" si="29"/>
        <v>2704</v>
      </c>
      <c r="N41" s="1">
        <f t="shared" si="8"/>
        <v>105.872818</v>
      </c>
      <c r="O41">
        <f t="shared" si="9"/>
        <v>60641</v>
      </c>
      <c r="P41">
        <f t="shared" si="10"/>
        <v>1546</v>
      </c>
      <c r="Q41" s="1">
        <f t="shared" si="11"/>
        <v>86.514250039999993</v>
      </c>
      <c r="R41">
        <f t="shared" si="12"/>
        <v>36106</v>
      </c>
      <c r="S41">
        <f t="shared" si="13"/>
        <v>1100</v>
      </c>
      <c r="T41">
        <f t="shared" si="30"/>
        <v>600.04029607772804</v>
      </c>
      <c r="U41">
        <f t="shared" si="31"/>
        <v>91</v>
      </c>
      <c r="W41">
        <f t="shared" si="32"/>
        <v>1</v>
      </c>
      <c r="X41">
        <f t="shared" si="33"/>
        <v>1</v>
      </c>
      <c r="Z41" t="str">
        <f t="shared" si="35"/>
        <v>pard400_8 &amp; 10 &amp; 229.33 &amp; 113158 &amp; 2704 &amp; 105.87 &amp; 60641 &amp; 1546 &amp; 86.51 &amp; 36106 &amp; 1100 &amp; 600.04 &amp; 91\\</v>
      </c>
    </row>
    <row r="42" spans="1:26" hidden="1" x14ac:dyDescent="0.2">
      <c r="A42" t="s">
        <v>48</v>
      </c>
      <c r="B42">
        <v>6</v>
      </c>
      <c r="C42" t="s">
        <v>21</v>
      </c>
      <c r="D42" t="s">
        <v>1</v>
      </c>
      <c r="E42">
        <v>1.3798201084136901</v>
      </c>
      <c r="F42">
        <v>1335</v>
      </c>
      <c r="G42">
        <v>149</v>
      </c>
      <c r="I42" t="str">
        <f t="shared" si="34"/>
        <v>pard400_8</v>
      </c>
      <c r="J42">
        <v>12</v>
      </c>
      <c r="K42" s="1">
        <f t="shared" si="27"/>
        <v>3.1436059474945002</v>
      </c>
      <c r="L42">
        <f t="shared" si="28"/>
        <v>3999</v>
      </c>
      <c r="M42">
        <f t="shared" si="29"/>
        <v>100</v>
      </c>
      <c r="N42" s="1">
        <f t="shared" si="8"/>
        <v>1.312268019</v>
      </c>
      <c r="O42">
        <f t="shared" si="9"/>
        <v>948</v>
      </c>
      <c r="P42">
        <f t="shared" si="10"/>
        <v>31</v>
      </c>
      <c r="Q42" s="1">
        <f t="shared" si="11"/>
        <v>19.45261502</v>
      </c>
      <c r="R42">
        <f t="shared" si="12"/>
        <v>248</v>
      </c>
      <c r="S42">
        <f t="shared" si="13"/>
        <v>16</v>
      </c>
      <c r="T42">
        <f t="shared" si="30"/>
        <v>375.56415605544998</v>
      </c>
      <c r="U42">
        <f t="shared" si="31"/>
        <v>55</v>
      </c>
      <c r="W42">
        <f t="shared" si="32"/>
        <v>1</v>
      </c>
      <c r="X42">
        <f t="shared" si="33"/>
        <v>1</v>
      </c>
      <c r="Z42" t="str">
        <f t="shared" si="35"/>
        <v>pard400_8 &amp; 12 &amp; 3.14 &amp; 3999 &amp; 100 &amp; 1.31 &amp; 948 &amp; 31 &amp; 19.45 &amp; 248 &amp; 16 &amp; 375.56 &amp; 55\\</v>
      </c>
    </row>
    <row r="43" spans="1:26" hidden="1" x14ac:dyDescent="0.2">
      <c r="A43" t="s">
        <v>0</v>
      </c>
      <c r="B43" t="s">
        <v>14</v>
      </c>
      <c r="C43" t="s">
        <v>15</v>
      </c>
      <c r="D43" t="s">
        <v>16</v>
      </c>
      <c r="E43" t="s">
        <v>17</v>
      </c>
      <c r="I43" t="str">
        <f t="shared" si="34"/>
        <v>pard400_8</v>
      </c>
      <c r="J43">
        <v>400</v>
      </c>
      <c r="K43" s="1">
        <f t="shared" si="27"/>
        <v>3.1413829326629599</v>
      </c>
      <c r="L43">
        <f t="shared" si="28"/>
        <v>3717</v>
      </c>
      <c r="M43">
        <f t="shared" si="29"/>
        <v>92</v>
      </c>
      <c r="N43" s="1">
        <f t="shared" si="8"/>
        <v>4.2600710389999996</v>
      </c>
      <c r="O43">
        <f t="shared" si="9"/>
        <v>3786</v>
      </c>
      <c r="P43">
        <f t="shared" si="10"/>
        <v>78</v>
      </c>
      <c r="Q43" s="1">
        <f t="shared" si="11"/>
        <v>22.048160079999999</v>
      </c>
      <c r="R43">
        <f t="shared" si="12"/>
        <v>1974</v>
      </c>
      <c r="S43">
        <f t="shared" si="13"/>
        <v>63</v>
      </c>
      <c r="T43">
        <f t="shared" si="30"/>
        <v>600.00944995880104</v>
      </c>
      <c r="U43">
        <f t="shared" si="31"/>
        <v>57</v>
      </c>
      <c r="W43">
        <f t="shared" si="32"/>
        <v>1</v>
      </c>
      <c r="X43">
        <f t="shared" si="33"/>
        <v>1</v>
      </c>
      <c r="Z43" t="str">
        <f>CONCATENATE(I43," &amp; ","nc", " &amp; ", ROUND(K43,2), " &amp; ", L43, " &amp; ", M43, " &amp; ",  ROUND(N43,2), " &amp; ", O43, " &amp; ", P43, " &amp; ", ROUND(Q43,2), " &amp; ", R43, " &amp; ", S43, " &amp; ",  ROUND(T43,2), " &amp; ", U43, "\\")</f>
        <v>pard400_8 &amp; nc &amp; 3.14 &amp; 3717 &amp; 92 &amp; 4.26 &amp; 3786 &amp; 78 &amp; 22.05 &amp; 1974 &amp; 63 &amp; 600.01 &amp; 57\\</v>
      </c>
    </row>
    <row r="44" spans="1:26" hidden="1" x14ac:dyDescent="0.2">
      <c r="A44" t="s">
        <v>48</v>
      </c>
      <c r="B44">
        <v>6</v>
      </c>
      <c r="C44" t="s">
        <v>22</v>
      </c>
      <c r="D44" t="s">
        <v>23</v>
      </c>
      <c r="E44">
        <v>600.005584955215</v>
      </c>
      <c r="F44">
        <v>100</v>
      </c>
      <c r="I44" t="str">
        <f>CONCATENATE($I$1,"9")</f>
        <v>pard400_9</v>
      </c>
      <c r="J44">
        <v>6</v>
      </c>
      <c r="K44" s="1">
        <f t="shared" si="27"/>
        <v>77.7894349098205</v>
      </c>
      <c r="L44">
        <f t="shared" si="28"/>
        <v>22576</v>
      </c>
      <c r="M44">
        <f t="shared" si="29"/>
        <v>2345</v>
      </c>
      <c r="N44" s="1">
        <f t="shared" si="8"/>
        <v>103.49256990000001</v>
      </c>
      <c r="O44">
        <f t="shared" si="9"/>
        <v>20499</v>
      </c>
      <c r="P44">
        <f t="shared" si="10"/>
        <v>2242</v>
      </c>
      <c r="Q44" s="1">
        <f t="shared" si="11"/>
        <v>107.726676</v>
      </c>
      <c r="R44">
        <f t="shared" si="12"/>
        <v>17484</v>
      </c>
      <c r="S44">
        <f t="shared" si="13"/>
        <v>1788</v>
      </c>
      <c r="T44">
        <f t="shared" si="30"/>
        <v>600.04368209838799</v>
      </c>
      <c r="U44">
        <f t="shared" si="31"/>
        <v>88</v>
      </c>
      <c r="W44">
        <f t="shared" si="32"/>
        <v>1</v>
      </c>
      <c r="X44">
        <f t="shared" si="33"/>
        <v>1</v>
      </c>
      <c r="Z44" t="str">
        <f>CONCATENATE(I44," &amp; ",J44, " &amp; ", ROUND(K44,2), " &amp; ", L44, " &amp; ", M44, " &amp; ",  ROUND(N44,2), " &amp; ", O44, " &amp; ", P44, " &amp; ", ROUND(Q44,2), " &amp; ", R44, " &amp; ", S44, " &amp; ",  ROUND(T44,2), " &amp; ", U44, "\\")</f>
        <v>pard400_9 &amp; 6 &amp; 77.79 &amp; 22576 &amp; 2345 &amp; 103.49 &amp; 20499 &amp; 2242 &amp; 107.73 &amp; 17484 &amp; 1788 &amp; 600.04 &amp; 88\\</v>
      </c>
    </row>
    <row r="45" spans="1:26" hidden="1" x14ac:dyDescent="0.2">
      <c r="A45" t="s">
        <v>0</v>
      </c>
      <c r="B45" t="s">
        <v>14</v>
      </c>
      <c r="C45" t="s">
        <v>15</v>
      </c>
      <c r="D45" t="s">
        <v>16</v>
      </c>
      <c r="E45" t="s">
        <v>17</v>
      </c>
      <c r="F45" t="s">
        <v>18</v>
      </c>
      <c r="G45" t="s">
        <v>19</v>
      </c>
      <c r="I45" t="str">
        <f t="shared" ref="I45:I48" si="36">CONCATENATE($I$1,"9")</f>
        <v>pard400_9</v>
      </c>
      <c r="J45">
        <v>8</v>
      </c>
      <c r="K45" s="1">
        <f t="shared" si="27"/>
        <v>466.035277843475</v>
      </c>
      <c r="L45">
        <f t="shared" si="28"/>
        <v>60566</v>
      </c>
      <c r="M45">
        <f t="shared" si="29"/>
        <v>4064</v>
      </c>
      <c r="N45" s="1">
        <f t="shared" si="8"/>
        <v>227.12884399999999</v>
      </c>
      <c r="O45">
        <f t="shared" si="9"/>
        <v>63954</v>
      </c>
      <c r="P45">
        <f t="shared" si="10"/>
        <v>3900</v>
      </c>
      <c r="Q45" s="1">
        <f t="shared" si="11"/>
        <v>217.6829798</v>
      </c>
      <c r="R45">
        <f t="shared" si="12"/>
        <v>54391</v>
      </c>
      <c r="S45">
        <f t="shared" si="13"/>
        <v>3298</v>
      </c>
      <c r="T45">
        <f t="shared" si="30"/>
        <v>600.04458904266301</v>
      </c>
      <c r="U45">
        <f t="shared" si="31"/>
        <v>89</v>
      </c>
      <c r="W45">
        <f t="shared" si="32"/>
        <v>1</v>
      </c>
      <c r="X45">
        <f t="shared" si="33"/>
        <v>1</v>
      </c>
      <c r="Z45" t="str">
        <f t="shared" ref="Z45:Z47" si="37">CONCATENATE(I45," &amp; ",J45, " &amp; ", ROUND(K45,2), " &amp; ", L45, " &amp; ", M45, " &amp; ",  ROUND(N45,2), " &amp; ", O45, " &amp; ", P45, " &amp; ", ROUND(Q45,2), " &amp; ", R45, " &amp; ", S45, " &amp; ",  ROUND(T45,2), " &amp; ", U45, "\\")</f>
        <v>pard400_9 &amp; 8 &amp; 466.04 &amp; 60566 &amp; 4064 &amp; 227.13 &amp; 63954 &amp; 3900 &amp; 217.68 &amp; 54391 &amp; 3298 &amp; 600.04 &amp; 89\\</v>
      </c>
    </row>
    <row r="46" spans="1:26" x14ac:dyDescent="0.2">
      <c r="A46" t="s">
        <v>48</v>
      </c>
      <c r="B46">
        <v>8</v>
      </c>
      <c r="C46" t="s">
        <v>21</v>
      </c>
      <c r="D46" t="s">
        <v>1</v>
      </c>
      <c r="E46">
        <v>3.2174930572509699</v>
      </c>
      <c r="F46">
        <v>2458</v>
      </c>
      <c r="G46">
        <v>271</v>
      </c>
      <c r="I46" t="str">
        <f t="shared" si="36"/>
        <v>pard400_9</v>
      </c>
      <c r="J46">
        <v>10</v>
      </c>
      <c r="K46" s="1">
        <f t="shared" si="27"/>
        <v>409.01837301254199</v>
      </c>
      <c r="L46">
        <f t="shared" si="28"/>
        <v>126193</v>
      </c>
      <c r="M46">
        <f t="shared" si="29"/>
        <v>3610</v>
      </c>
      <c r="N46" s="3">
        <f t="shared" si="8"/>
        <v>16.708361864089898</v>
      </c>
      <c r="O46">
        <f t="shared" si="9"/>
        <v>8440</v>
      </c>
      <c r="P46">
        <f t="shared" si="10"/>
        <v>448</v>
      </c>
      <c r="Q46" s="1">
        <f t="shared" si="11"/>
        <v>34.381474018096903</v>
      </c>
      <c r="R46">
        <f t="shared" si="12"/>
        <v>6406</v>
      </c>
      <c r="S46">
        <f t="shared" si="13"/>
        <v>315</v>
      </c>
      <c r="T46">
        <f t="shared" si="30"/>
        <v>600.04974699020295</v>
      </c>
      <c r="U46">
        <f t="shared" si="31"/>
        <v>77</v>
      </c>
      <c r="W46">
        <f t="shared" si="32"/>
        <v>1</v>
      </c>
      <c r="X46">
        <f t="shared" si="33"/>
        <v>1</v>
      </c>
      <c r="Z46" t="str">
        <f t="shared" si="37"/>
        <v>pard400_9 &amp; 10 &amp; 409.02 &amp; 126193 &amp; 3610 &amp; 16.71 &amp; 8440 &amp; 448 &amp; 34.38 &amp; 6406 &amp; 315 &amp; 600.05 &amp; 77\\</v>
      </c>
    </row>
    <row r="47" spans="1:26" hidden="1" x14ac:dyDescent="0.2">
      <c r="A47" t="s">
        <v>0</v>
      </c>
      <c r="B47" t="s">
        <v>14</v>
      </c>
      <c r="C47" t="s">
        <v>15</v>
      </c>
      <c r="D47" t="s">
        <v>16</v>
      </c>
      <c r="E47" t="s">
        <v>17</v>
      </c>
      <c r="I47" t="str">
        <f t="shared" si="36"/>
        <v>pard400_9</v>
      </c>
      <c r="J47">
        <v>12</v>
      </c>
      <c r="K47" s="1">
        <f t="shared" si="27"/>
        <v>0.68647885322570801</v>
      </c>
      <c r="L47">
        <f t="shared" si="28"/>
        <v>747</v>
      </c>
      <c r="M47">
        <f t="shared" si="29"/>
        <v>52</v>
      </c>
      <c r="N47" s="1">
        <f t="shared" si="8"/>
        <v>0.71785807599999996</v>
      </c>
      <c r="O47">
        <f t="shared" si="9"/>
        <v>238</v>
      </c>
      <c r="P47">
        <f t="shared" si="10"/>
        <v>33</v>
      </c>
      <c r="Q47" s="1">
        <f t="shared" si="11"/>
        <v>14.428991079999999</v>
      </c>
      <c r="R47">
        <f t="shared" si="12"/>
        <v>212</v>
      </c>
      <c r="S47">
        <f t="shared" si="13"/>
        <v>20</v>
      </c>
      <c r="T47">
        <f t="shared" si="30"/>
        <v>600.01170206069901</v>
      </c>
      <c r="U47">
        <f t="shared" si="31"/>
        <v>96</v>
      </c>
      <c r="W47">
        <f t="shared" si="32"/>
        <v>1</v>
      </c>
      <c r="X47">
        <f t="shared" si="33"/>
        <v>1</v>
      </c>
      <c r="Z47" t="str">
        <f t="shared" si="37"/>
        <v>pard400_9 &amp; 12 &amp; 0.69 &amp; 747 &amp; 52 &amp; 0.72 &amp; 238 &amp; 33 &amp; 14.43 &amp; 212 &amp; 20 &amp; 600.01 &amp; 96\\</v>
      </c>
    </row>
    <row r="48" spans="1:26" hidden="1" x14ac:dyDescent="0.2">
      <c r="A48" t="s">
        <v>48</v>
      </c>
      <c r="B48">
        <v>8</v>
      </c>
      <c r="C48" t="s">
        <v>22</v>
      </c>
      <c r="D48" t="s">
        <v>23</v>
      </c>
      <c r="E48">
        <v>600.02238607406605</v>
      </c>
      <c r="F48">
        <v>80</v>
      </c>
      <c r="I48" t="str">
        <f t="shared" si="36"/>
        <v>pard400_9</v>
      </c>
      <c r="J48">
        <v>400</v>
      </c>
      <c r="K48" s="1">
        <f t="shared" si="27"/>
        <v>0.61487984657287598</v>
      </c>
      <c r="L48">
        <f t="shared" si="28"/>
        <v>629</v>
      </c>
      <c r="M48">
        <f t="shared" si="29"/>
        <v>43</v>
      </c>
      <c r="N48" s="3">
        <f t="shared" si="8"/>
        <v>0.770797968</v>
      </c>
      <c r="O48" s="2">
        <f t="shared" si="9"/>
        <v>458</v>
      </c>
      <c r="P48" s="2">
        <f t="shared" si="10"/>
        <v>33</v>
      </c>
      <c r="Q48" s="3">
        <f t="shared" si="11"/>
        <v>14.498677020000001</v>
      </c>
      <c r="R48" s="2">
        <f t="shared" si="12"/>
        <v>379</v>
      </c>
      <c r="S48">
        <f t="shared" si="13"/>
        <v>22</v>
      </c>
      <c r="T48">
        <f t="shared" si="30"/>
        <v>600.01521301269497</v>
      </c>
      <c r="U48">
        <f t="shared" si="31"/>
        <v>100</v>
      </c>
      <c r="W48">
        <f t="shared" si="32"/>
        <v>1</v>
      </c>
      <c r="X48">
        <f t="shared" si="33"/>
        <v>1</v>
      </c>
      <c r="Z48" t="str">
        <f>CONCATENATE(I48," &amp; ","nc", " &amp; ", ROUND(K48,2), " &amp; ", L48, " &amp; ", M48, " &amp; ",  ROUND(N48,2), " &amp; ", O48, " &amp; ", P48, " &amp; ", ROUND(Q48,2), " &amp; ", R48, " &amp; ", S48, " &amp; ",  ROUND(T48,2), " &amp; ", U48, "\\")</f>
        <v>pard400_9 &amp; nc &amp; 0.61 &amp; 629 &amp; 43 &amp; 0.77 &amp; 458 &amp; 33 &amp; 14.5 &amp; 379 &amp; 22 &amp; 600.02 &amp; 100\\</v>
      </c>
    </row>
    <row r="49" spans="1:26" hidden="1" x14ac:dyDescent="0.2">
      <c r="A49" t="s">
        <v>0</v>
      </c>
      <c r="B49" t="s">
        <v>14</v>
      </c>
      <c r="C49" t="s">
        <v>15</v>
      </c>
      <c r="D49" t="s">
        <v>16</v>
      </c>
      <c r="E49" t="s">
        <v>17</v>
      </c>
      <c r="F49" t="s">
        <v>18</v>
      </c>
      <c r="G49" t="s">
        <v>19</v>
      </c>
      <c r="I49" t="str">
        <f>CONCATENATE($I$1,"10")</f>
        <v>pard400_10</v>
      </c>
      <c r="J49">
        <v>6</v>
      </c>
      <c r="K49" s="1">
        <f t="shared" si="27"/>
        <v>169.96544003486599</v>
      </c>
      <c r="L49">
        <f t="shared" si="28"/>
        <v>23613</v>
      </c>
      <c r="M49">
        <f t="shared" si="29"/>
        <v>3587</v>
      </c>
      <c r="N49" s="3">
        <f t="shared" si="8"/>
        <v>168.04536199569699</v>
      </c>
      <c r="O49" s="2">
        <f t="shared" si="9"/>
        <v>22863</v>
      </c>
      <c r="P49" s="2">
        <f t="shared" si="10"/>
        <v>3473</v>
      </c>
      <c r="Q49" s="3">
        <f t="shared" si="11"/>
        <v>227.11601690000001</v>
      </c>
      <c r="R49" s="2">
        <f t="shared" si="12"/>
        <v>21273</v>
      </c>
      <c r="S49">
        <f t="shared" si="13"/>
        <v>3172</v>
      </c>
      <c r="T49">
        <f t="shared" si="30"/>
        <v>600.04326105117798</v>
      </c>
      <c r="U49">
        <f t="shared" si="31"/>
        <v>90</v>
      </c>
      <c r="W49">
        <f t="shared" si="32"/>
        <v>1</v>
      </c>
      <c r="X49">
        <f t="shared" si="33"/>
        <v>1</v>
      </c>
      <c r="Z49" t="str">
        <f>CONCATENATE(I49," &amp; ",J49, " &amp; ", ROUND(K49,2), " &amp; ", L49, " &amp; ", M49, " &amp; ",  ROUND(N49,2), " &amp; ", O49, " &amp; ", P49, " &amp; ", ROUND(Q49,2), " &amp; ", R49, " &amp; ", S49, " &amp; ",  ROUND(T49,2), " &amp; ", U49, "\\")</f>
        <v>pard400_10 &amp; 6 &amp; 169.97 &amp; 23613 &amp; 3587 &amp; 168.05 &amp; 22863 &amp; 3473 &amp; 227.12 &amp; 21273 &amp; 3172 &amp; 600.04 &amp; 90\\</v>
      </c>
    </row>
    <row r="50" spans="1:26" hidden="1" x14ac:dyDescent="0.2">
      <c r="A50" t="s">
        <v>48</v>
      </c>
      <c r="B50">
        <v>10</v>
      </c>
      <c r="C50" t="s">
        <v>21</v>
      </c>
      <c r="D50" t="s">
        <v>1</v>
      </c>
      <c r="E50">
        <v>8.8146259784698398</v>
      </c>
      <c r="F50">
        <v>9924</v>
      </c>
      <c r="G50">
        <v>347</v>
      </c>
      <c r="I50" s="2" t="str">
        <f t="shared" ref="I50:I53" si="38">CONCATENATE($I$1,"10")</f>
        <v>pard400_10</v>
      </c>
      <c r="J50" s="2">
        <v>8</v>
      </c>
      <c r="K50" s="3">
        <f t="shared" si="27"/>
        <v>245.250220060348</v>
      </c>
      <c r="L50" s="2">
        <f t="shared" si="28"/>
        <v>45874</v>
      </c>
      <c r="M50" s="2">
        <f t="shared" si="29"/>
        <v>5375</v>
      </c>
      <c r="N50" s="3">
        <f t="shared" si="8"/>
        <v>380.31108</v>
      </c>
      <c r="O50" s="2">
        <f t="shared" si="9"/>
        <v>53366</v>
      </c>
      <c r="P50" s="2">
        <f t="shared" si="10"/>
        <v>5307</v>
      </c>
      <c r="Q50" s="3">
        <f t="shared" si="11"/>
        <v>410.44669010000001</v>
      </c>
      <c r="R50" s="2">
        <f t="shared" si="12"/>
        <v>53736</v>
      </c>
      <c r="S50">
        <f t="shared" si="13"/>
        <v>4974</v>
      </c>
      <c r="T50" s="2">
        <f t="shared" si="30"/>
        <v>600.01323485374405</v>
      </c>
      <c r="U50">
        <f t="shared" si="31"/>
        <v>92</v>
      </c>
      <c r="W50">
        <f t="shared" si="32"/>
        <v>1</v>
      </c>
      <c r="X50">
        <f t="shared" si="33"/>
        <v>1</v>
      </c>
      <c r="Z50" t="str">
        <f t="shared" ref="Z50:Z52" si="39">CONCATENATE(I50," &amp; ",J50, " &amp; ", ROUND(K50,2), " &amp; ", L50, " &amp; ", M50, " &amp; ",  ROUND(N50,2), " &amp; ", O50, " &amp; ", P50, " &amp; ", ROUND(Q50,2), " &amp; ", R50, " &amp; ", S50, " &amp; ",  ROUND(T50,2), " &amp; ", U50, "\\")</f>
        <v>pard400_10 &amp; 8 &amp; 245.25 &amp; 45874 &amp; 5375 &amp; 380.31 &amp; 53366 &amp; 5307 &amp; 410.45 &amp; 53736 &amp; 4974 &amp; 600.01 &amp; 92\\</v>
      </c>
    </row>
    <row r="51" spans="1:26" x14ac:dyDescent="0.2">
      <c r="A51" t="s">
        <v>0</v>
      </c>
      <c r="B51" t="s">
        <v>14</v>
      </c>
      <c r="C51" t="s">
        <v>15</v>
      </c>
      <c r="D51" t="s">
        <v>16</v>
      </c>
      <c r="E51" t="s">
        <v>17</v>
      </c>
      <c r="I51" t="str">
        <f t="shared" si="38"/>
        <v>pard400_10</v>
      </c>
      <c r="J51">
        <v>10</v>
      </c>
      <c r="K51" s="1">
        <f t="shared" si="27"/>
        <v>391.62764096260003</v>
      </c>
      <c r="L51">
        <f t="shared" si="28"/>
        <v>108377</v>
      </c>
      <c r="M51">
        <f t="shared" si="29"/>
        <v>3236</v>
      </c>
      <c r="N51" s="3">
        <f t="shared" si="8"/>
        <v>177.5109301</v>
      </c>
      <c r="O51" s="2">
        <f t="shared" si="9"/>
        <v>67621</v>
      </c>
      <c r="P51" s="2">
        <f t="shared" si="10"/>
        <v>2292</v>
      </c>
      <c r="Q51" s="3">
        <f t="shared" si="11"/>
        <v>72.652465109999994</v>
      </c>
      <c r="R51" s="2">
        <f t="shared" si="12"/>
        <v>26349</v>
      </c>
      <c r="S51">
        <f t="shared" si="13"/>
        <v>1162</v>
      </c>
      <c r="T51">
        <f t="shared" si="30"/>
        <v>600.03848600387505</v>
      </c>
      <c r="U51">
        <f t="shared" si="31"/>
        <v>80</v>
      </c>
      <c r="W51">
        <f t="shared" si="32"/>
        <v>1</v>
      </c>
      <c r="X51">
        <f t="shared" si="33"/>
        <v>1</v>
      </c>
      <c r="Z51" t="str">
        <f t="shared" si="39"/>
        <v>pard400_10 &amp; 10 &amp; 391.63 &amp; 108377 &amp; 3236 &amp; 177.51 &amp; 67621 &amp; 2292 &amp; 72.65 &amp; 26349 &amp; 1162 &amp; 600.04 &amp; 80\\</v>
      </c>
    </row>
    <row r="52" spans="1:26" hidden="1" x14ac:dyDescent="0.2">
      <c r="A52" t="s">
        <v>48</v>
      </c>
      <c r="B52">
        <v>10</v>
      </c>
      <c r="C52" t="s">
        <v>22</v>
      </c>
      <c r="D52" t="s">
        <v>23</v>
      </c>
      <c r="E52">
        <v>600.02892994880597</v>
      </c>
      <c r="F52">
        <v>82</v>
      </c>
      <c r="I52" t="str">
        <f t="shared" si="38"/>
        <v>pard400_10</v>
      </c>
      <c r="J52">
        <v>12</v>
      </c>
      <c r="K52" s="1">
        <f t="shared" si="27"/>
        <v>3.78823590278625</v>
      </c>
      <c r="L52">
        <f t="shared" si="28"/>
        <v>4910</v>
      </c>
      <c r="M52">
        <f t="shared" si="29"/>
        <v>152</v>
      </c>
      <c r="N52" s="1">
        <f t="shared" si="8"/>
        <v>1.009387016</v>
      </c>
      <c r="O52">
        <f t="shared" si="9"/>
        <v>557</v>
      </c>
      <c r="P52">
        <f t="shared" si="10"/>
        <v>42</v>
      </c>
      <c r="Q52" s="1">
        <f t="shared" si="11"/>
        <v>16.653136010000001</v>
      </c>
      <c r="R52">
        <f t="shared" si="12"/>
        <v>351</v>
      </c>
      <c r="S52">
        <f t="shared" si="13"/>
        <v>22</v>
      </c>
      <c r="T52">
        <f t="shared" si="30"/>
        <v>360.00241303443897</v>
      </c>
      <c r="U52">
        <f t="shared" si="31"/>
        <v>57</v>
      </c>
      <c r="W52">
        <f t="shared" si="32"/>
        <v>1</v>
      </c>
      <c r="X52">
        <f t="shared" si="33"/>
        <v>1</v>
      </c>
      <c r="Z52" t="str">
        <f t="shared" si="39"/>
        <v>pard400_10 &amp; 12 &amp; 3.79 &amp; 4910 &amp; 152 &amp; 1.01 &amp; 557 &amp; 42 &amp; 16.65 &amp; 351 &amp; 22 &amp; 360 &amp; 57\\</v>
      </c>
    </row>
    <row r="53" spans="1:26" hidden="1" x14ac:dyDescent="0.2">
      <c r="A53" t="s">
        <v>0</v>
      </c>
      <c r="B53" t="s">
        <v>14</v>
      </c>
      <c r="C53" t="s">
        <v>15</v>
      </c>
      <c r="D53" t="s">
        <v>16</v>
      </c>
      <c r="E53" t="s">
        <v>17</v>
      </c>
      <c r="F53" t="s">
        <v>18</v>
      </c>
      <c r="G53" t="s">
        <v>19</v>
      </c>
      <c r="I53" t="str">
        <f t="shared" si="38"/>
        <v>pard400_10</v>
      </c>
      <c r="J53">
        <v>400</v>
      </c>
      <c r="K53" s="1">
        <f t="shared" si="27"/>
        <v>4.69636702537536</v>
      </c>
      <c r="L53">
        <f t="shared" si="28"/>
        <v>4035</v>
      </c>
      <c r="M53">
        <f t="shared" si="29"/>
        <v>143</v>
      </c>
      <c r="N53" s="1">
        <f t="shared" si="8"/>
        <v>4.080904007</v>
      </c>
      <c r="O53">
        <f t="shared" si="9"/>
        <v>3253</v>
      </c>
      <c r="P53">
        <f t="shared" si="10"/>
        <v>130</v>
      </c>
      <c r="Q53" s="1">
        <f t="shared" si="11"/>
        <v>20.42695999</v>
      </c>
      <c r="R53">
        <f t="shared" si="12"/>
        <v>2239</v>
      </c>
      <c r="S53">
        <f t="shared" si="13"/>
        <v>113</v>
      </c>
      <c r="T53">
        <f t="shared" si="30"/>
        <v>600.02026891708294</v>
      </c>
      <c r="U53">
        <f t="shared" si="31"/>
        <v>37</v>
      </c>
      <c r="W53">
        <f t="shared" si="32"/>
        <v>1</v>
      </c>
      <c r="X53">
        <f t="shared" si="33"/>
        <v>1</v>
      </c>
      <c r="Z53" t="str">
        <f>CONCATENATE(I53," &amp; ","nc", " &amp; ", ROUND(K53,2), " &amp; ", L53, " &amp; ", M53, " &amp; ",  ROUND(N53,2), " &amp; ", O53, " &amp; ", P53, " &amp; ", ROUND(Q53,2), " &amp; ", R53, " &amp; ", S53, " &amp; ",  ROUND(T53,2), " &amp; ", U53, "\\")</f>
        <v>pard400_10 &amp; nc &amp; 4.7 &amp; 4035 &amp; 143 &amp; 4.08 &amp; 3253 &amp; 130 &amp; 20.43 &amp; 2239 &amp; 113 &amp; 600.02 &amp; 37\\</v>
      </c>
    </row>
    <row r="54" spans="1:26" hidden="1" x14ac:dyDescent="0.2">
      <c r="A54" t="s">
        <v>48</v>
      </c>
      <c r="B54">
        <v>12</v>
      </c>
      <c r="C54" t="s">
        <v>21</v>
      </c>
      <c r="D54" t="s">
        <v>1</v>
      </c>
      <c r="E54">
        <v>0.44812512397766102</v>
      </c>
      <c r="F54">
        <v>838</v>
      </c>
      <c r="G54">
        <v>12</v>
      </c>
    </row>
    <row r="55" spans="1:26" hidden="1" x14ac:dyDescent="0.2">
      <c r="A55" t="s">
        <v>0</v>
      </c>
      <c r="B55" t="s">
        <v>14</v>
      </c>
      <c r="C55" t="s">
        <v>15</v>
      </c>
      <c r="D55" t="s">
        <v>16</v>
      </c>
      <c r="E55" t="s">
        <v>17</v>
      </c>
    </row>
    <row r="56" spans="1:26" hidden="1" x14ac:dyDescent="0.2">
      <c r="A56" t="s">
        <v>48</v>
      </c>
      <c r="B56">
        <v>12</v>
      </c>
      <c r="C56" t="s">
        <v>22</v>
      </c>
      <c r="D56" t="s">
        <v>23</v>
      </c>
      <c r="E56">
        <v>582.039318084716</v>
      </c>
      <c r="F56">
        <v>92</v>
      </c>
    </row>
    <row r="57" spans="1:26" hidden="1" x14ac:dyDescent="0.2">
      <c r="A57" t="s">
        <v>0</v>
      </c>
      <c r="B57" t="s">
        <v>14</v>
      </c>
      <c r="C57" t="s">
        <v>15</v>
      </c>
      <c r="D57" t="s">
        <v>16</v>
      </c>
      <c r="E57" t="s">
        <v>17</v>
      </c>
      <c r="F57" t="s">
        <v>18</v>
      </c>
      <c r="G57" t="s">
        <v>19</v>
      </c>
    </row>
    <row r="58" spans="1:26" hidden="1" x14ac:dyDescent="0.2">
      <c r="A58" t="s">
        <v>48</v>
      </c>
      <c r="B58">
        <v>400</v>
      </c>
      <c r="C58" t="s">
        <v>21</v>
      </c>
      <c r="D58" t="s">
        <v>1</v>
      </c>
      <c r="E58">
        <v>0.55665802955627397</v>
      </c>
      <c r="F58">
        <v>1259</v>
      </c>
      <c r="G58">
        <v>10</v>
      </c>
    </row>
    <row r="59" spans="1:26" hidden="1" x14ac:dyDescent="0.2">
      <c r="A59" t="s">
        <v>0</v>
      </c>
      <c r="B59" t="s">
        <v>14</v>
      </c>
      <c r="C59" t="s">
        <v>15</v>
      </c>
      <c r="D59" t="s">
        <v>16</v>
      </c>
      <c r="E59" t="s">
        <v>17</v>
      </c>
    </row>
    <row r="60" spans="1:26" hidden="1" x14ac:dyDescent="0.2">
      <c r="A60" t="s">
        <v>48</v>
      </c>
      <c r="B60">
        <v>400</v>
      </c>
      <c r="C60" t="s">
        <v>22</v>
      </c>
      <c r="D60" t="s">
        <v>23</v>
      </c>
      <c r="E60">
        <v>600.04448795318604</v>
      </c>
      <c r="F60">
        <v>100</v>
      </c>
    </row>
    <row r="61" spans="1:26" hidden="1" x14ac:dyDescent="0.2">
      <c r="A61" t="s">
        <v>0</v>
      </c>
      <c r="B61" t="s">
        <v>14</v>
      </c>
      <c r="C61" t="s">
        <v>15</v>
      </c>
      <c r="D61" t="s">
        <v>16</v>
      </c>
      <c r="E61" t="s">
        <v>17</v>
      </c>
      <c r="F61" t="s">
        <v>18</v>
      </c>
      <c r="G61" t="s">
        <v>19</v>
      </c>
    </row>
    <row r="62" spans="1:26" hidden="1" x14ac:dyDescent="0.2">
      <c r="A62" t="s">
        <v>49</v>
      </c>
      <c r="B62">
        <v>6</v>
      </c>
      <c r="C62" t="s">
        <v>21</v>
      </c>
      <c r="D62" t="s">
        <v>1</v>
      </c>
      <c r="E62">
        <v>53.038620948791497</v>
      </c>
      <c r="F62">
        <v>18492</v>
      </c>
      <c r="G62">
        <v>1712</v>
      </c>
    </row>
    <row r="63" spans="1:26" hidden="1" x14ac:dyDescent="0.2">
      <c r="A63" t="s">
        <v>0</v>
      </c>
      <c r="B63" t="s">
        <v>14</v>
      </c>
      <c r="C63" t="s">
        <v>15</v>
      </c>
      <c r="D63" t="s">
        <v>16</v>
      </c>
      <c r="E63" t="s">
        <v>17</v>
      </c>
    </row>
    <row r="64" spans="1:26" hidden="1" x14ac:dyDescent="0.2">
      <c r="A64" t="s">
        <v>49</v>
      </c>
      <c r="B64">
        <v>6</v>
      </c>
      <c r="C64" t="s">
        <v>22</v>
      </c>
      <c r="D64" t="s">
        <v>23</v>
      </c>
      <c r="E64">
        <v>600.03826212882996</v>
      </c>
      <c r="F64">
        <v>99</v>
      </c>
    </row>
    <row r="65" spans="1:7" hidden="1" x14ac:dyDescent="0.2">
      <c r="A65" t="s">
        <v>0</v>
      </c>
      <c r="B65" t="s">
        <v>14</v>
      </c>
      <c r="C65" t="s">
        <v>15</v>
      </c>
      <c r="D65" t="s">
        <v>16</v>
      </c>
      <c r="E65" t="s">
        <v>17</v>
      </c>
      <c r="F65" t="s">
        <v>18</v>
      </c>
      <c r="G65" t="s">
        <v>19</v>
      </c>
    </row>
    <row r="66" spans="1:7" hidden="1" x14ac:dyDescent="0.2">
      <c r="A66" t="s">
        <v>49</v>
      </c>
      <c r="B66">
        <v>8</v>
      </c>
      <c r="C66" t="s">
        <v>21</v>
      </c>
      <c r="D66" t="s">
        <v>1</v>
      </c>
      <c r="E66">
        <v>183.865854978561</v>
      </c>
      <c r="F66">
        <v>47458</v>
      </c>
      <c r="G66">
        <v>3660</v>
      </c>
    </row>
    <row r="67" spans="1:7" hidden="1" x14ac:dyDescent="0.2">
      <c r="A67" t="s">
        <v>0</v>
      </c>
      <c r="B67" t="s">
        <v>14</v>
      </c>
      <c r="C67" t="s">
        <v>15</v>
      </c>
      <c r="D67" t="s">
        <v>16</v>
      </c>
      <c r="E67" t="s">
        <v>17</v>
      </c>
    </row>
    <row r="68" spans="1:7" hidden="1" x14ac:dyDescent="0.2">
      <c r="A68" t="s">
        <v>49</v>
      </c>
      <c r="B68">
        <v>8</v>
      </c>
      <c r="C68" t="s">
        <v>22</v>
      </c>
      <c r="D68" t="s">
        <v>23</v>
      </c>
      <c r="E68">
        <v>600.01182913780201</v>
      </c>
      <c r="F68">
        <v>90</v>
      </c>
    </row>
    <row r="69" spans="1:7" hidden="1" x14ac:dyDescent="0.2">
      <c r="A69" t="s">
        <v>0</v>
      </c>
      <c r="B69" t="s">
        <v>14</v>
      </c>
      <c r="C69" t="s">
        <v>15</v>
      </c>
      <c r="D69" t="s">
        <v>16</v>
      </c>
      <c r="E69" t="s">
        <v>17</v>
      </c>
      <c r="F69" t="s">
        <v>18</v>
      </c>
      <c r="G69" t="s">
        <v>19</v>
      </c>
    </row>
    <row r="70" spans="1:7" hidden="1" x14ac:dyDescent="0.2">
      <c r="A70" t="s">
        <v>49</v>
      </c>
      <c r="B70">
        <v>10</v>
      </c>
      <c r="C70" t="s">
        <v>21</v>
      </c>
      <c r="D70" t="s">
        <v>1</v>
      </c>
      <c r="E70">
        <v>259.10006594657898</v>
      </c>
      <c r="F70">
        <v>76394</v>
      </c>
      <c r="G70">
        <v>2153</v>
      </c>
    </row>
    <row r="71" spans="1:7" hidden="1" x14ac:dyDescent="0.2">
      <c r="A71" t="s">
        <v>0</v>
      </c>
      <c r="B71" t="s">
        <v>14</v>
      </c>
      <c r="C71" t="s">
        <v>15</v>
      </c>
      <c r="D71" t="s">
        <v>16</v>
      </c>
      <c r="E71" t="s">
        <v>17</v>
      </c>
    </row>
    <row r="72" spans="1:7" hidden="1" x14ac:dyDescent="0.2">
      <c r="A72" t="s">
        <v>49</v>
      </c>
      <c r="B72">
        <v>10</v>
      </c>
      <c r="C72" t="s">
        <v>22</v>
      </c>
      <c r="D72" t="s">
        <v>23</v>
      </c>
      <c r="E72">
        <v>600.02330803871098</v>
      </c>
      <c r="F72">
        <v>90</v>
      </c>
    </row>
    <row r="73" spans="1:7" hidden="1" x14ac:dyDescent="0.2">
      <c r="A73" t="s">
        <v>0</v>
      </c>
      <c r="B73" t="s">
        <v>14</v>
      </c>
      <c r="C73" t="s">
        <v>15</v>
      </c>
      <c r="D73" t="s">
        <v>16</v>
      </c>
      <c r="E73" t="s">
        <v>17</v>
      </c>
      <c r="F73" t="s">
        <v>18</v>
      </c>
      <c r="G73" t="s">
        <v>19</v>
      </c>
    </row>
    <row r="74" spans="1:7" hidden="1" x14ac:dyDescent="0.2">
      <c r="A74" t="s">
        <v>49</v>
      </c>
      <c r="B74">
        <v>12</v>
      </c>
      <c r="C74" t="s">
        <v>21</v>
      </c>
      <c r="D74" t="s">
        <v>1</v>
      </c>
      <c r="E74">
        <v>1.87955093383789</v>
      </c>
      <c r="F74">
        <v>2428</v>
      </c>
      <c r="G74">
        <v>98</v>
      </c>
    </row>
    <row r="75" spans="1:7" hidden="1" x14ac:dyDescent="0.2">
      <c r="A75" t="s">
        <v>0</v>
      </c>
      <c r="B75" t="s">
        <v>14</v>
      </c>
      <c r="C75" t="s">
        <v>15</v>
      </c>
      <c r="D75" t="s">
        <v>16</v>
      </c>
      <c r="E75" t="s">
        <v>17</v>
      </c>
    </row>
    <row r="76" spans="1:7" hidden="1" x14ac:dyDescent="0.2">
      <c r="A76" t="s">
        <v>49</v>
      </c>
      <c r="B76">
        <v>12</v>
      </c>
      <c r="C76" t="s">
        <v>22</v>
      </c>
      <c r="D76" t="s">
        <v>23</v>
      </c>
      <c r="E76">
        <v>407.55394101142798</v>
      </c>
      <c r="F76">
        <v>67</v>
      </c>
    </row>
    <row r="77" spans="1:7" hidden="1" x14ac:dyDescent="0.2">
      <c r="A77" t="s">
        <v>0</v>
      </c>
      <c r="B77" t="s">
        <v>14</v>
      </c>
      <c r="C77" t="s">
        <v>15</v>
      </c>
      <c r="D77" t="s">
        <v>16</v>
      </c>
      <c r="E77" t="s">
        <v>17</v>
      </c>
      <c r="F77" t="s">
        <v>18</v>
      </c>
      <c r="G77" t="s">
        <v>19</v>
      </c>
    </row>
    <row r="78" spans="1:7" hidden="1" x14ac:dyDescent="0.2">
      <c r="A78" t="s">
        <v>49</v>
      </c>
      <c r="B78">
        <v>400</v>
      </c>
      <c r="C78" t="s">
        <v>21</v>
      </c>
      <c r="D78" t="s">
        <v>1</v>
      </c>
      <c r="E78">
        <v>3.7614109516143799</v>
      </c>
      <c r="F78">
        <v>4738</v>
      </c>
      <c r="G78">
        <v>105</v>
      </c>
    </row>
    <row r="79" spans="1:7" hidden="1" x14ac:dyDescent="0.2">
      <c r="A79" t="s">
        <v>0</v>
      </c>
      <c r="B79" t="s">
        <v>14</v>
      </c>
      <c r="C79" t="s">
        <v>15</v>
      </c>
      <c r="D79" t="s">
        <v>16</v>
      </c>
      <c r="E79" t="s">
        <v>17</v>
      </c>
    </row>
    <row r="80" spans="1:7" hidden="1" x14ac:dyDescent="0.2">
      <c r="A80" t="s">
        <v>49</v>
      </c>
      <c r="B80">
        <v>400</v>
      </c>
      <c r="C80" t="s">
        <v>22</v>
      </c>
      <c r="D80" t="s">
        <v>23</v>
      </c>
      <c r="E80">
        <v>600.02470016479401</v>
      </c>
      <c r="F80">
        <v>90</v>
      </c>
    </row>
    <row r="81" spans="1:7" hidden="1" x14ac:dyDescent="0.2">
      <c r="A81" t="s">
        <v>0</v>
      </c>
      <c r="B81" t="s">
        <v>14</v>
      </c>
      <c r="C81" t="s">
        <v>15</v>
      </c>
      <c r="D81" t="s">
        <v>16</v>
      </c>
      <c r="E81" t="s">
        <v>17</v>
      </c>
      <c r="F81" t="s">
        <v>18</v>
      </c>
      <c r="G81" t="s">
        <v>19</v>
      </c>
    </row>
    <row r="82" spans="1:7" hidden="1" x14ac:dyDescent="0.2">
      <c r="A82" t="s">
        <v>50</v>
      </c>
      <c r="B82">
        <v>6</v>
      </c>
      <c r="C82" t="s">
        <v>21</v>
      </c>
      <c r="D82" t="s">
        <v>1</v>
      </c>
      <c r="E82">
        <v>11.066103935241699</v>
      </c>
      <c r="F82">
        <v>5100</v>
      </c>
      <c r="G82">
        <v>658</v>
      </c>
    </row>
    <row r="83" spans="1:7" hidden="1" x14ac:dyDescent="0.2">
      <c r="A83" t="s">
        <v>0</v>
      </c>
      <c r="B83" t="s">
        <v>14</v>
      </c>
      <c r="C83" t="s">
        <v>15</v>
      </c>
      <c r="D83" t="s">
        <v>16</v>
      </c>
      <c r="E83" t="s">
        <v>17</v>
      </c>
    </row>
    <row r="84" spans="1:7" hidden="1" x14ac:dyDescent="0.2">
      <c r="A84" t="s">
        <v>50</v>
      </c>
      <c r="B84">
        <v>6</v>
      </c>
      <c r="C84" t="s">
        <v>22</v>
      </c>
      <c r="D84" t="s">
        <v>23</v>
      </c>
      <c r="E84">
        <v>600.01949810981705</v>
      </c>
      <c r="F84">
        <v>94</v>
      </c>
    </row>
    <row r="85" spans="1:7" hidden="1" x14ac:dyDescent="0.2">
      <c r="A85" t="s">
        <v>0</v>
      </c>
      <c r="B85" t="s">
        <v>14</v>
      </c>
      <c r="C85" t="s">
        <v>15</v>
      </c>
      <c r="D85" t="s">
        <v>16</v>
      </c>
      <c r="E85" t="s">
        <v>17</v>
      </c>
      <c r="F85" t="s">
        <v>18</v>
      </c>
      <c r="G85" t="s">
        <v>19</v>
      </c>
    </row>
    <row r="86" spans="1:7" hidden="1" x14ac:dyDescent="0.2">
      <c r="A86" t="s">
        <v>50</v>
      </c>
      <c r="B86">
        <v>8</v>
      </c>
      <c r="C86" t="s">
        <v>21</v>
      </c>
      <c r="D86" t="s">
        <v>1</v>
      </c>
      <c r="E86">
        <v>17.4183299541473</v>
      </c>
      <c r="F86">
        <v>12061</v>
      </c>
      <c r="G86">
        <v>939</v>
      </c>
    </row>
    <row r="87" spans="1:7" hidden="1" x14ac:dyDescent="0.2">
      <c r="A87" t="s">
        <v>0</v>
      </c>
      <c r="B87" t="s">
        <v>14</v>
      </c>
      <c r="C87" t="s">
        <v>15</v>
      </c>
      <c r="D87" t="s">
        <v>16</v>
      </c>
      <c r="E87" t="s">
        <v>17</v>
      </c>
    </row>
    <row r="88" spans="1:7" hidden="1" x14ac:dyDescent="0.2">
      <c r="A88" t="s">
        <v>50</v>
      </c>
      <c r="B88">
        <v>8</v>
      </c>
      <c r="C88" t="s">
        <v>22</v>
      </c>
      <c r="D88" t="s">
        <v>23</v>
      </c>
      <c r="E88">
        <v>600.00311708450295</v>
      </c>
      <c r="F88">
        <v>94</v>
      </c>
    </row>
    <row r="89" spans="1:7" hidden="1" x14ac:dyDescent="0.2">
      <c r="A89" t="s">
        <v>0</v>
      </c>
      <c r="B89" t="s">
        <v>14</v>
      </c>
      <c r="C89" t="s">
        <v>15</v>
      </c>
      <c r="D89" t="s">
        <v>16</v>
      </c>
      <c r="E89" t="s">
        <v>17</v>
      </c>
      <c r="F89" t="s">
        <v>18</v>
      </c>
      <c r="G89" t="s">
        <v>19</v>
      </c>
    </row>
    <row r="90" spans="1:7" hidden="1" x14ac:dyDescent="0.2">
      <c r="A90" t="s">
        <v>50</v>
      </c>
      <c r="B90">
        <v>10</v>
      </c>
      <c r="C90" t="s">
        <v>21</v>
      </c>
      <c r="D90" t="s">
        <v>1</v>
      </c>
      <c r="E90">
        <v>213.68456006050101</v>
      </c>
      <c r="F90">
        <v>74592</v>
      </c>
      <c r="G90">
        <v>2312</v>
      </c>
    </row>
    <row r="91" spans="1:7" hidden="1" x14ac:dyDescent="0.2">
      <c r="A91" t="s">
        <v>0</v>
      </c>
      <c r="B91" t="s">
        <v>14</v>
      </c>
      <c r="C91" t="s">
        <v>15</v>
      </c>
      <c r="D91" t="s">
        <v>16</v>
      </c>
      <c r="E91" t="s">
        <v>17</v>
      </c>
    </row>
    <row r="92" spans="1:7" hidden="1" x14ac:dyDescent="0.2">
      <c r="A92" t="s">
        <v>50</v>
      </c>
      <c r="B92">
        <v>10</v>
      </c>
      <c r="C92" t="s">
        <v>22</v>
      </c>
      <c r="D92" t="s">
        <v>23</v>
      </c>
      <c r="E92">
        <v>600.01031184196404</v>
      </c>
      <c r="F92">
        <v>89</v>
      </c>
    </row>
    <row r="93" spans="1:7" hidden="1" x14ac:dyDescent="0.2">
      <c r="A93" t="s">
        <v>0</v>
      </c>
      <c r="B93" t="s">
        <v>14</v>
      </c>
      <c r="C93" t="s">
        <v>15</v>
      </c>
      <c r="D93" t="s">
        <v>16</v>
      </c>
      <c r="E93" t="s">
        <v>17</v>
      </c>
      <c r="F93" t="s">
        <v>18</v>
      </c>
      <c r="G93" t="s">
        <v>19</v>
      </c>
    </row>
    <row r="94" spans="1:7" hidden="1" x14ac:dyDescent="0.2">
      <c r="A94" t="s">
        <v>50</v>
      </c>
      <c r="B94">
        <v>12</v>
      </c>
      <c r="C94" t="s">
        <v>21</v>
      </c>
      <c r="D94" t="s">
        <v>1</v>
      </c>
      <c r="E94">
        <v>9.28893995285034</v>
      </c>
      <c r="F94">
        <v>9724</v>
      </c>
      <c r="G94">
        <v>272</v>
      </c>
    </row>
    <row r="95" spans="1:7" hidden="1" x14ac:dyDescent="0.2">
      <c r="A95" t="s">
        <v>0</v>
      </c>
      <c r="B95" t="s">
        <v>14</v>
      </c>
      <c r="C95" t="s">
        <v>15</v>
      </c>
      <c r="D95" t="s">
        <v>16</v>
      </c>
      <c r="E95" t="s">
        <v>17</v>
      </c>
    </row>
    <row r="96" spans="1:7" hidden="1" x14ac:dyDescent="0.2">
      <c r="A96" t="s">
        <v>50</v>
      </c>
      <c r="B96">
        <v>12</v>
      </c>
      <c r="C96" t="s">
        <v>22</v>
      </c>
      <c r="D96" t="s">
        <v>23</v>
      </c>
      <c r="E96">
        <v>485.41871404647799</v>
      </c>
      <c r="F96">
        <v>95</v>
      </c>
    </row>
    <row r="97" spans="1:7" hidden="1" x14ac:dyDescent="0.2">
      <c r="A97" t="s">
        <v>0</v>
      </c>
      <c r="B97" t="s">
        <v>14</v>
      </c>
      <c r="C97" t="s">
        <v>15</v>
      </c>
      <c r="D97" t="s">
        <v>16</v>
      </c>
      <c r="E97" t="s">
        <v>17</v>
      </c>
      <c r="F97" t="s">
        <v>18</v>
      </c>
      <c r="G97" t="s">
        <v>19</v>
      </c>
    </row>
    <row r="98" spans="1:7" hidden="1" x14ac:dyDescent="0.2">
      <c r="A98" t="s">
        <v>50</v>
      </c>
      <c r="B98">
        <v>400</v>
      </c>
      <c r="C98" t="s">
        <v>21</v>
      </c>
      <c r="D98" t="s">
        <v>1</v>
      </c>
      <c r="E98">
        <v>17.161946058273301</v>
      </c>
      <c r="F98">
        <v>15746</v>
      </c>
      <c r="G98">
        <v>306</v>
      </c>
    </row>
    <row r="99" spans="1:7" hidden="1" x14ac:dyDescent="0.2">
      <c r="A99" t="s">
        <v>0</v>
      </c>
      <c r="B99" t="s">
        <v>14</v>
      </c>
      <c r="C99" t="s">
        <v>15</v>
      </c>
      <c r="D99" t="s">
        <v>16</v>
      </c>
      <c r="E99" t="s">
        <v>17</v>
      </c>
    </row>
    <row r="100" spans="1:7" hidden="1" x14ac:dyDescent="0.2">
      <c r="A100" t="s">
        <v>50</v>
      </c>
      <c r="B100">
        <v>400</v>
      </c>
      <c r="C100" t="s">
        <v>22</v>
      </c>
      <c r="D100" t="s">
        <v>23</v>
      </c>
      <c r="E100">
        <v>600.01257205009404</v>
      </c>
      <c r="F100">
        <v>70</v>
      </c>
    </row>
    <row r="101" spans="1:7" hidden="1" x14ac:dyDescent="0.2">
      <c r="A101" t="s">
        <v>0</v>
      </c>
      <c r="B101" t="s">
        <v>14</v>
      </c>
      <c r="C101" t="s">
        <v>15</v>
      </c>
      <c r="D101" t="s">
        <v>16</v>
      </c>
      <c r="E101" t="s">
        <v>17</v>
      </c>
      <c r="F101" t="s">
        <v>18</v>
      </c>
      <c r="G101" t="s">
        <v>19</v>
      </c>
    </row>
    <row r="102" spans="1:7" hidden="1" x14ac:dyDescent="0.2">
      <c r="A102" t="s">
        <v>51</v>
      </c>
      <c r="B102">
        <v>6</v>
      </c>
      <c r="C102" t="s">
        <v>21</v>
      </c>
      <c r="D102" t="s">
        <v>1</v>
      </c>
      <c r="E102">
        <v>0.27449297904968201</v>
      </c>
      <c r="F102">
        <v>116</v>
      </c>
      <c r="G102">
        <v>30</v>
      </c>
    </row>
    <row r="103" spans="1:7" hidden="1" x14ac:dyDescent="0.2">
      <c r="A103" t="s">
        <v>0</v>
      </c>
      <c r="B103" t="s">
        <v>14</v>
      </c>
      <c r="C103" t="s">
        <v>15</v>
      </c>
      <c r="D103" t="s">
        <v>16</v>
      </c>
      <c r="E103" t="s">
        <v>17</v>
      </c>
    </row>
    <row r="104" spans="1:7" hidden="1" x14ac:dyDescent="0.2">
      <c r="A104" t="s">
        <v>51</v>
      </c>
      <c r="B104">
        <v>6</v>
      </c>
      <c r="C104" t="s">
        <v>22</v>
      </c>
      <c r="D104" t="s">
        <v>23</v>
      </c>
      <c r="E104">
        <v>356.150092124938</v>
      </c>
      <c r="F104">
        <v>61</v>
      </c>
    </row>
    <row r="105" spans="1:7" hidden="1" x14ac:dyDescent="0.2">
      <c r="A105" t="s">
        <v>0</v>
      </c>
      <c r="B105" t="s">
        <v>14</v>
      </c>
      <c r="C105" t="s">
        <v>15</v>
      </c>
      <c r="D105" t="s">
        <v>16</v>
      </c>
      <c r="E105" t="s">
        <v>17</v>
      </c>
      <c r="F105" t="s">
        <v>18</v>
      </c>
      <c r="G105" t="s">
        <v>19</v>
      </c>
    </row>
    <row r="106" spans="1:7" hidden="1" x14ac:dyDescent="0.2">
      <c r="A106" t="s">
        <v>51</v>
      </c>
      <c r="B106">
        <v>8</v>
      </c>
      <c r="C106" t="s">
        <v>21</v>
      </c>
      <c r="D106" t="s">
        <v>1</v>
      </c>
      <c r="E106">
        <v>0.16572189331054599</v>
      </c>
      <c r="F106">
        <v>92</v>
      </c>
      <c r="G106">
        <v>15</v>
      </c>
    </row>
    <row r="107" spans="1:7" hidden="1" x14ac:dyDescent="0.2">
      <c r="A107" t="s">
        <v>0</v>
      </c>
      <c r="B107" t="s">
        <v>14</v>
      </c>
      <c r="C107" t="s">
        <v>15</v>
      </c>
      <c r="D107" t="s">
        <v>16</v>
      </c>
      <c r="E107" t="s">
        <v>17</v>
      </c>
    </row>
    <row r="108" spans="1:7" hidden="1" x14ac:dyDescent="0.2">
      <c r="A108" t="s">
        <v>51</v>
      </c>
      <c r="B108">
        <v>8</v>
      </c>
      <c r="C108" t="s">
        <v>22</v>
      </c>
      <c r="D108" t="s">
        <v>23</v>
      </c>
      <c r="E108">
        <v>208.43522214889501</v>
      </c>
      <c r="F108">
        <v>33</v>
      </c>
    </row>
    <row r="109" spans="1:7" hidden="1" x14ac:dyDescent="0.2">
      <c r="A109" t="s">
        <v>0</v>
      </c>
      <c r="B109" t="s">
        <v>14</v>
      </c>
      <c r="C109" t="s">
        <v>15</v>
      </c>
      <c r="D109" t="s">
        <v>16</v>
      </c>
      <c r="E109" t="s">
        <v>17</v>
      </c>
      <c r="F109" t="s">
        <v>18</v>
      </c>
      <c r="G109" t="s">
        <v>19</v>
      </c>
    </row>
    <row r="110" spans="1:7" hidden="1" x14ac:dyDescent="0.2">
      <c r="A110" t="s">
        <v>51</v>
      </c>
      <c r="B110">
        <v>10</v>
      </c>
      <c r="C110" t="s">
        <v>21</v>
      </c>
      <c r="D110" t="s">
        <v>1</v>
      </c>
      <c r="E110">
        <v>0.42457509040832497</v>
      </c>
      <c r="F110">
        <v>317</v>
      </c>
      <c r="G110">
        <v>36</v>
      </c>
    </row>
    <row r="111" spans="1:7" hidden="1" x14ac:dyDescent="0.2">
      <c r="A111" t="s">
        <v>0</v>
      </c>
      <c r="B111" t="s">
        <v>14</v>
      </c>
      <c r="C111" t="s">
        <v>15</v>
      </c>
      <c r="D111" t="s">
        <v>16</v>
      </c>
      <c r="E111" t="s">
        <v>17</v>
      </c>
    </row>
    <row r="112" spans="1:7" hidden="1" x14ac:dyDescent="0.2">
      <c r="A112" t="s">
        <v>51</v>
      </c>
      <c r="B112">
        <v>10</v>
      </c>
      <c r="C112" t="s">
        <v>22</v>
      </c>
      <c r="D112" t="s">
        <v>23</v>
      </c>
      <c r="E112">
        <v>200.95025515556301</v>
      </c>
      <c r="F112">
        <v>33</v>
      </c>
    </row>
    <row r="113" spans="1:7" hidden="1" x14ac:dyDescent="0.2">
      <c r="A113" t="s">
        <v>0</v>
      </c>
      <c r="B113" t="s">
        <v>14</v>
      </c>
      <c r="C113" t="s">
        <v>15</v>
      </c>
      <c r="D113" t="s">
        <v>16</v>
      </c>
      <c r="E113" t="s">
        <v>17</v>
      </c>
      <c r="F113" t="s">
        <v>18</v>
      </c>
      <c r="G113" t="s">
        <v>19</v>
      </c>
    </row>
    <row r="114" spans="1:7" hidden="1" x14ac:dyDescent="0.2">
      <c r="A114" t="s">
        <v>51</v>
      </c>
      <c r="B114">
        <v>12</v>
      </c>
      <c r="C114" t="s">
        <v>21</v>
      </c>
      <c r="D114" t="s">
        <v>1</v>
      </c>
      <c r="E114">
        <v>4.7964880466461102</v>
      </c>
      <c r="F114">
        <v>7491</v>
      </c>
      <c r="G114">
        <v>76</v>
      </c>
    </row>
    <row r="115" spans="1:7" hidden="1" x14ac:dyDescent="0.2">
      <c r="A115" t="s">
        <v>0</v>
      </c>
      <c r="B115" t="s">
        <v>14</v>
      </c>
      <c r="C115" t="s">
        <v>15</v>
      </c>
      <c r="D115" t="s">
        <v>16</v>
      </c>
      <c r="E115" t="s">
        <v>17</v>
      </c>
    </row>
    <row r="116" spans="1:7" hidden="1" x14ac:dyDescent="0.2">
      <c r="A116" t="s">
        <v>51</v>
      </c>
      <c r="B116">
        <v>12</v>
      </c>
      <c r="C116" t="s">
        <v>22</v>
      </c>
      <c r="D116" t="s">
        <v>23</v>
      </c>
      <c r="E116">
        <v>600.005126953125</v>
      </c>
      <c r="F116">
        <v>97</v>
      </c>
    </row>
    <row r="117" spans="1:7" hidden="1" x14ac:dyDescent="0.2">
      <c r="A117" t="s">
        <v>0</v>
      </c>
      <c r="B117" t="s">
        <v>14</v>
      </c>
      <c r="C117" t="s">
        <v>15</v>
      </c>
      <c r="D117" t="s">
        <v>16</v>
      </c>
      <c r="E117" t="s">
        <v>17</v>
      </c>
      <c r="F117" t="s">
        <v>18</v>
      </c>
      <c r="G117" t="s">
        <v>19</v>
      </c>
    </row>
    <row r="118" spans="1:7" hidden="1" x14ac:dyDescent="0.2">
      <c r="A118" t="s">
        <v>51</v>
      </c>
      <c r="B118">
        <v>400</v>
      </c>
      <c r="C118" t="s">
        <v>21</v>
      </c>
      <c r="D118" t="s">
        <v>1</v>
      </c>
      <c r="E118">
        <v>5.4029221534729004</v>
      </c>
      <c r="F118">
        <v>8154</v>
      </c>
      <c r="G118">
        <v>82</v>
      </c>
    </row>
    <row r="119" spans="1:7" hidden="1" x14ac:dyDescent="0.2">
      <c r="A119" t="s">
        <v>0</v>
      </c>
      <c r="B119" t="s">
        <v>14</v>
      </c>
      <c r="C119" t="s">
        <v>15</v>
      </c>
      <c r="D119" t="s">
        <v>16</v>
      </c>
      <c r="E119" t="s">
        <v>17</v>
      </c>
    </row>
    <row r="120" spans="1:7" hidden="1" x14ac:dyDescent="0.2">
      <c r="A120" t="s">
        <v>51</v>
      </c>
      <c r="B120">
        <v>400</v>
      </c>
      <c r="C120" t="s">
        <v>22</v>
      </c>
      <c r="D120" t="s">
        <v>23</v>
      </c>
      <c r="E120">
        <v>600.02087306976296</v>
      </c>
      <c r="F120">
        <v>83</v>
      </c>
    </row>
    <row r="121" spans="1:7" hidden="1" x14ac:dyDescent="0.2">
      <c r="A121" t="s">
        <v>0</v>
      </c>
      <c r="B121" t="s">
        <v>14</v>
      </c>
      <c r="C121" t="s">
        <v>15</v>
      </c>
      <c r="D121" t="s">
        <v>16</v>
      </c>
      <c r="E121" t="s">
        <v>17</v>
      </c>
      <c r="F121" t="s">
        <v>18</v>
      </c>
      <c r="G121" t="s">
        <v>19</v>
      </c>
    </row>
    <row r="122" spans="1:7" hidden="1" x14ac:dyDescent="0.2">
      <c r="A122" t="s">
        <v>52</v>
      </c>
      <c r="B122">
        <v>6</v>
      </c>
      <c r="C122" t="s">
        <v>21</v>
      </c>
      <c r="D122" t="s">
        <v>1</v>
      </c>
      <c r="E122">
        <v>48.052893161773603</v>
      </c>
      <c r="F122">
        <v>16104</v>
      </c>
      <c r="G122">
        <v>2514</v>
      </c>
    </row>
    <row r="123" spans="1:7" hidden="1" x14ac:dyDescent="0.2">
      <c r="A123" t="s">
        <v>0</v>
      </c>
      <c r="B123" t="s">
        <v>14</v>
      </c>
      <c r="C123" t="s">
        <v>15</v>
      </c>
      <c r="D123" t="s">
        <v>16</v>
      </c>
      <c r="E123" t="s">
        <v>17</v>
      </c>
    </row>
    <row r="124" spans="1:7" hidden="1" x14ac:dyDescent="0.2">
      <c r="A124" t="s">
        <v>52</v>
      </c>
      <c r="B124">
        <v>6</v>
      </c>
      <c r="C124" t="s">
        <v>22</v>
      </c>
      <c r="D124" t="s">
        <v>23</v>
      </c>
      <c r="E124">
        <v>600.023108959198</v>
      </c>
      <c r="F124">
        <v>98</v>
      </c>
    </row>
    <row r="125" spans="1:7" hidden="1" x14ac:dyDescent="0.2">
      <c r="A125" t="s">
        <v>0</v>
      </c>
      <c r="B125" t="s">
        <v>14</v>
      </c>
      <c r="C125" t="s">
        <v>15</v>
      </c>
      <c r="D125" t="s">
        <v>16</v>
      </c>
      <c r="E125" t="s">
        <v>17</v>
      </c>
      <c r="F125" t="s">
        <v>18</v>
      </c>
      <c r="G125" t="s">
        <v>19</v>
      </c>
    </row>
    <row r="126" spans="1:7" hidden="1" x14ac:dyDescent="0.2">
      <c r="A126" t="s">
        <v>52</v>
      </c>
      <c r="B126">
        <v>8</v>
      </c>
      <c r="C126" t="s">
        <v>21</v>
      </c>
      <c r="D126" t="s">
        <v>1</v>
      </c>
      <c r="E126">
        <v>114.02957892417901</v>
      </c>
      <c r="F126">
        <v>39645</v>
      </c>
      <c r="G126">
        <v>3412</v>
      </c>
    </row>
    <row r="127" spans="1:7" hidden="1" x14ac:dyDescent="0.2">
      <c r="A127" t="s">
        <v>0</v>
      </c>
      <c r="B127" t="s">
        <v>14</v>
      </c>
      <c r="C127" t="s">
        <v>15</v>
      </c>
      <c r="D127" t="s">
        <v>16</v>
      </c>
      <c r="E127" t="s">
        <v>17</v>
      </c>
    </row>
    <row r="128" spans="1:7" hidden="1" x14ac:dyDescent="0.2">
      <c r="A128" t="s">
        <v>52</v>
      </c>
      <c r="B128">
        <v>8</v>
      </c>
      <c r="C128" t="s">
        <v>22</v>
      </c>
      <c r="D128" t="s">
        <v>23</v>
      </c>
      <c r="E128">
        <v>600.030861854553</v>
      </c>
      <c r="F128">
        <v>86</v>
      </c>
    </row>
    <row r="129" spans="1:7" hidden="1" x14ac:dyDescent="0.2">
      <c r="A129" t="s">
        <v>0</v>
      </c>
      <c r="B129" t="s">
        <v>14</v>
      </c>
      <c r="C129" t="s">
        <v>15</v>
      </c>
      <c r="D129" t="s">
        <v>16</v>
      </c>
      <c r="E129" t="s">
        <v>17</v>
      </c>
      <c r="F129" t="s">
        <v>18</v>
      </c>
      <c r="G129" t="s">
        <v>19</v>
      </c>
    </row>
    <row r="130" spans="1:7" hidden="1" x14ac:dyDescent="0.2">
      <c r="A130" t="s">
        <v>52</v>
      </c>
      <c r="B130">
        <v>10</v>
      </c>
      <c r="C130" t="s">
        <v>21</v>
      </c>
      <c r="D130" t="s">
        <v>1</v>
      </c>
      <c r="E130">
        <v>31.5122261047363</v>
      </c>
      <c r="F130">
        <v>21063</v>
      </c>
      <c r="G130">
        <v>1304</v>
      </c>
    </row>
    <row r="131" spans="1:7" hidden="1" x14ac:dyDescent="0.2">
      <c r="A131" t="s">
        <v>0</v>
      </c>
      <c r="B131" t="s">
        <v>14</v>
      </c>
      <c r="C131" t="s">
        <v>15</v>
      </c>
      <c r="D131" t="s">
        <v>16</v>
      </c>
      <c r="E131" t="s">
        <v>17</v>
      </c>
    </row>
    <row r="132" spans="1:7" hidden="1" x14ac:dyDescent="0.2">
      <c r="A132" t="s">
        <v>52</v>
      </c>
      <c r="B132">
        <v>10</v>
      </c>
      <c r="C132" t="s">
        <v>22</v>
      </c>
      <c r="D132" t="s">
        <v>23</v>
      </c>
      <c r="E132">
        <v>600.01746606826703</v>
      </c>
      <c r="F132">
        <v>86</v>
      </c>
    </row>
    <row r="133" spans="1:7" hidden="1" x14ac:dyDescent="0.2">
      <c r="A133" t="s">
        <v>0</v>
      </c>
      <c r="B133" t="s">
        <v>14</v>
      </c>
      <c r="C133" t="s">
        <v>15</v>
      </c>
      <c r="D133" t="s">
        <v>16</v>
      </c>
      <c r="E133" t="s">
        <v>17</v>
      </c>
      <c r="F133" t="s">
        <v>18</v>
      </c>
      <c r="G133" t="s">
        <v>19</v>
      </c>
    </row>
    <row r="134" spans="1:7" hidden="1" x14ac:dyDescent="0.2">
      <c r="A134" t="s">
        <v>52</v>
      </c>
      <c r="B134">
        <v>12</v>
      </c>
      <c r="C134" t="s">
        <v>21</v>
      </c>
      <c r="D134" t="s">
        <v>1</v>
      </c>
      <c r="E134">
        <v>1.3801081180572501</v>
      </c>
      <c r="F134">
        <v>1567</v>
      </c>
      <c r="G134">
        <v>70</v>
      </c>
    </row>
    <row r="135" spans="1:7" hidden="1" x14ac:dyDescent="0.2">
      <c r="A135" t="s">
        <v>0</v>
      </c>
      <c r="B135" t="s">
        <v>14</v>
      </c>
      <c r="C135" t="s">
        <v>15</v>
      </c>
      <c r="D135" t="s">
        <v>16</v>
      </c>
      <c r="E135" t="s">
        <v>17</v>
      </c>
    </row>
    <row r="136" spans="1:7" hidden="1" x14ac:dyDescent="0.2">
      <c r="A136" t="s">
        <v>52</v>
      </c>
      <c r="B136">
        <v>12</v>
      </c>
      <c r="C136" t="s">
        <v>22</v>
      </c>
      <c r="D136" t="s">
        <v>23</v>
      </c>
      <c r="E136">
        <v>169.48446893692</v>
      </c>
      <c r="F136">
        <v>25</v>
      </c>
    </row>
    <row r="137" spans="1:7" hidden="1" x14ac:dyDescent="0.2">
      <c r="A137" t="s">
        <v>0</v>
      </c>
      <c r="B137" t="s">
        <v>14</v>
      </c>
      <c r="C137" t="s">
        <v>15</v>
      </c>
      <c r="D137" t="s">
        <v>16</v>
      </c>
      <c r="E137" t="s">
        <v>17</v>
      </c>
      <c r="F137" t="s">
        <v>18</v>
      </c>
      <c r="G137" t="s">
        <v>19</v>
      </c>
    </row>
    <row r="138" spans="1:7" hidden="1" x14ac:dyDescent="0.2">
      <c r="A138" t="s">
        <v>52</v>
      </c>
      <c r="B138">
        <v>400</v>
      </c>
      <c r="C138" t="s">
        <v>21</v>
      </c>
      <c r="D138" t="s">
        <v>1</v>
      </c>
      <c r="E138">
        <v>1.7675609588623</v>
      </c>
      <c r="F138">
        <v>2063</v>
      </c>
      <c r="G138">
        <v>83</v>
      </c>
    </row>
    <row r="139" spans="1:7" hidden="1" x14ac:dyDescent="0.2">
      <c r="A139" t="s">
        <v>0</v>
      </c>
      <c r="B139" t="s">
        <v>14</v>
      </c>
      <c r="C139" t="s">
        <v>15</v>
      </c>
      <c r="D139" t="s">
        <v>16</v>
      </c>
      <c r="E139" t="s">
        <v>17</v>
      </c>
    </row>
    <row r="140" spans="1:7" hidden="1" x14ac:dyDescent="0.2">
      <c r="A140" t="s">
        <v>52</v>
      </c>
      <c r="B140">
        <v>400</v>
      </c>
      <c r="C140" t="s">
        <v>22</v>
      </c>
      <c r="D140" t="s">
        <v>23</v>
      </c>
      <c r="E140">
        <v>600.01199698448102</v>
      </c>
      <c r="F140">
        <v>61</v>
      </c>
    </row>
    <row r="141" spans="1:7" hidden="1" x14ac:dyDescent="0.2">
      <c r="A141" t="s">
        <v>0</v>
      </c>
      <c r="B141" t="s">
        <v>14</v>
      </c>
      <c r="C141" t="s">
        <v>15</v>
      </c>
      <c r="D141" t="s">
        <v>16</v>
      </c>
      <c r="E141" t="s">
        <v>17</v>
      </c>
      <c r="F141" t="s">
        <v>18</v>
      </c>
      <c r="G141" t="s">
        <v>19</v>
      </c>
    </row>
    <row r="142" spans="1:7" hidden="1" x14ac:dyDescent="0.2">
      <c r="A142" t="s">
        <v>53</v>
      </c>
      <c r="B142">
        <v>6</v>
      </c>
      <c r="C142" t="s">
        <v>21</v>
      </c>
      <c r="D142" t="s">
        <v>1</v>
      </c>
      <c r="E142">
        <v>118.095201015472</v>
      </c>
      <c r="F142">
        <v>27153</v>
      </c>
      <c r="G142">
        <v>3187</v>
      </c>
    </row>
    <row r="143" spans="1:7" hidden="1" x14ac:dyDescent="0.2">
      <c r="A143" t="s">
        <v>0</v>
      </c>
      <c r="B143" t="s">
        <v>14</v>
      </c>
      <c r="C143" t="s">
        <v>15</v>
      </c>
      <c r="D143" t="s">
        <v>16</v>
      </c>
      <c r="E143" t="s">
        <v>17</v>
      </c>
    </row>
    <row r="144" spans="1:7" hidden="1" x14ac:dyDescent="0.2">
      <c r="A144" t="s">
        <v>53</v>
      </c>
      <c r="B144">
        <v>6</v>
      </c>
      <c r="C144" t="s">
        <v>22</v>
      </c>
      <c r="D144" t="s">
        <v>23</v>
      </c>
      <c r="E144">
        <v>600.016120195388</v>
      </c>
      <c r="F144">
        <v>98</v>
      </c>
    </row>
    <row r="145" spans="1:7" hidden="1" x14ac:dyDescent="0.2">
      <c r="A145" t="s">
        <v>0</v>
      </c>
      <c r="B145" t="s">
        <v>14</v>
      </c>
      <c r="C145" t="s">
        <v>15</v>
      </c>
      <c r="D145" t="s">
        <v>16</v>
      </c>
      <c r="E145" t="s">
        <v>17</v>
      </c>
      <c r="F145" t="s">
        <v>18</v>
      </c>
      <c r="G145" t="s">
        <v>19</v>
      </c>
    </row>
    <row r="146" spans="1:7" hidden="1" x14ac:dyDescent="0.2">
      <c r="A146" t="s">
        <v>53</v>
      </c>
      <c r="B146">
        <v>8</v>
      </c>
      <c r="C146" t="s">
        <v>21</v>
      </c>
      <c r="D146" t="s">
        <v>1</v>
      </c>
      <c r="E146">
        <v>342.823021888732</v>
      </c>
      <c r="F146">
        <v>91061</v>
      </c>
      <c r="G146">
        <v>5120</v>
      </c>
    </row>
    <row r="147" spans="1:7" hidden="1" x14ac:dyDescent="0.2">
      <c r="A147" t="s">
        <v>0</v>
      </c>
      <c r="B147" t="s">
        <v>14</v>
      </c>
      <c r="C147" t="s">
        <v>15</v>
      </c>
      <c r="D147" t="s">
        <v>16</v>
      </c>
      <c r="E147" t="s">
        <v>17</v>
      </c>
    </row>
    <row r="148" spans="1:7" hidden="1" x14ac:dyDescent="0.2">
      <c r="A148" t="s">
        <v>53</v>
      </c>
      <c r="B148">
        <v>8</v>
      </c>
      <c r="C148" t="s">
        <v>22</v>
      </c>
      <c r="D148" t="s">
        <v>23</v>
      </c>
      <c r="E148">
        <v>600.00565314292896</v>
      </c>
      <c r="F148">
        <v>97</v>
      </c>
    </row>
    <row r="149" spans="1:7" hidden="1" x14ac:dyDescent="0.2">
      <c r="A149" t="s">
        <v>0</v>
      </c>
      <c r="B149" t="s">
        <v>14</v>
      </c>
      <c r="C149" t="s">
        <v>15</v>
      </c>
      <c r="D149" t="s">
        <v>16</v>
      </c>
      <c r="E149" t="s">
        <v>17</v>
      </c>
      <c r="F149" t="s">
        <v>18</v>
      </c>
      <c r="G149" t="s">
        <v>19</v>
      </c>
    </row>
    <row r="150" spans="1:7" hidden="1" x14ac:dyDescent="0.2">
      <c r="A150" t="s">
        <v>53</v>
      </c>
      <c r="B150">
        <v>10</v>
      </c>
      <c r="C150" t="s">
        <v>21</v>
      </c>
      <c r="D150" t="s">
        <v>1</v>
      </c>
      <c r="E150">
        <v>229.33143305778501</v>
      </c>
      <c r="F150">
        <v>113158</v>
      </c>
      <c r="G150">
        <v>2704</v>
      </c>
    </row>
    <row r="151" spans="1:7" hidden="1" x14ac:dyDescent="0.2">
      <c r="A151" t="s">
        <v>0</v>
      </c>
      <c r="B151" t="s">
        <v>14</v>
      </c>
      <c r="C151" t="s">
        <v>15</v>
      </c>
      <c r="D151" t="s">
        <v>16</v>
      </c>
      <c r="E151" t="s">
        <v>17</v>
      </c>
    </row>
    <row r="152" spans="1:7" hidden="1" x14ac:dyDescent="0.2">
      <c r="A152" t="s">
        <v>53</v>
      </c>
      <c r="B152">
        <v>10</v>
      </c>
      <c r="C152" t="s">
        <v>22</v>
      </c>
      <c r="D152" t="s">
        <v>23</v>
      </c>
      <c r="E152">
        <v>600.04029607772804</v>
      </c>
      <c r="F152">
        <v>91</v>
      </c>
    </row>
    <row r="153" spans="1:7" hidden="1" x14ac:dyDescent="0.2">
      <c r="A153" t="s">
        <v>0</v>
      </c>
      <c r="B153" t="s">
        <v>14</v>
      </c>
      <c r="C153" t="s">
        <v>15</v>
      </c>
      <c r="D153" t="s">
        <v>16</v>
      </c>
      <c r="E153" t="s">
        <v>17</v>
      </c>
      <c r="F153" t="s">
        <v>18</v>
      </c>
      <c r="G153" t="s">
        <v>19</v>
      </c>
    </row>
    <row r="154" spans="1:7" hidden="1" x14ac:dyDescent="0.2">
      <c r="A154" t="s">
        <v>53</v>
      </c>
      <c r="B154">
        <v>12</v>
      </c>
      <c r="C154" t="s">
        <v>21</v>
      </c>
      <c r="D154" t="s">
        <v>1</v>
      </c>
      <c r="E154">
        <v>3.1436059474945002</v>
      </c>
      <c r="F154">
        <v>3999</v>
      </c>
      <c r="G154">
        <v>100</v>
      </c>
    </row>
    <row r="155" spans="1:7" hidden="1" x14ac:dyDescent="0.2">
      <c r="A155" t="s">
        <v>0</v>
      </c>
      <c r="B155" t="s">
        <v>14</v>
      </c>
      <c r="C155" t="s">
        <v>15</v>
      </c>
      <c r="D155" t="s">
        <v>16</v>
      </c>
      <c r="E155" t="s">
        <v>17</v>
      </c>
    </row>
    <row r="156" spans="1:7" hidden="1" x14ac:dyDescent="0.2">
      <c r="A156" t="s">
        <v>53</v>
      </c>
      <c r="B156">
        <v>12</v>
      </c>
      <c r="C156" t="s">
        <v>22</v>
      </c>
      <c r="D156" t="s">
        <v>23</v>
      </c>
      <c r="E156">
        <v>375.56415605544998</v>
      </c>
      <c r="F156">
        <v>55</v>
      </c>
    </row>
    <row r="157" spans="1:7" hidden="1" x14ac:dyDescent="0.2">
      <c r="A157" t="s">
        <v>0</v>
      </c>
      <c r="B157" t="s">
        <v>14</v>
      </c>
      <c r="C157" t="s">
        <v>15</v>
      </c>
      <c r="D157" t="s">
        <v>16</v>
      </c>
      <c r="E157" t="s">
        <v>17</v>
      </c>
      <c r="F157" t="s">
        <v>18</v>
      </c>
      <c r="G157" t="s">
        <v>19</v>
      </c>
    </row>
    <row r="158" spans="1:7" hidden="1" x14ac:dyDescent="0.2">
      <c r="A158" t="s">
        <v>53</v>
      </c>
      <c r="B158">
        <v>400</v>
      </c>
      <c r="C158" t="s">
        <v>21</v>
      </c>
      <c r="D158" t="s">
        <v>1</v>
      </c>
      <c r="E158">
        <v>3.1413829326629599</v>
      </c>
      <c r="F158">
        <v>3717</v>
      </c>
      <c r="G158">
        <v>92</v>
      </c>
    </row>
    <row r="159" spans="1:7" hidden="1" x14ac:dyDescent="0.2">
      <c r="A159" t="s">
        <v>0</v>
      </c>
      <c r="B159" t="s">
        <v>14</v>
      </c>
      <c r="C159" t="s">
        <v>15</v>
      </c>
      <c r="D159" t="s">
        <v>16</v>
      </c>
      <c r="E159" t="s">
        <v>17</v>
      </c>
    </row>
    <row r="160" spans="1:7" hidden="1" x14ac:dyDescent="0.2">
      <c r="A160" t="s">
        <v>53</v>
      </c>
      <c r="B160">
        <v>400</v>
      </c>
      <c r="C160" t="s">
        <v>22</v>
      </c>
      <c r="D160" t="s">
        <v>23</v>
      </c>
      <c r="E160">
        <v>600.00944995880104</v>
      </c>
      <c r="F160">
        <v>57</v>
      </c>
    </row>
    <row r="161" spans="1:7" hidden="1" x14ac:dyDescent="0.2">
      <c r="A161" t="s">
        <v>0</v>
      </c>
      <c r="B161" t="s">
        <v>14</v>
      </c>
      <c r="C161" t="s">
        <v>15</v>
      </c>
      <c r="D161" t="s">
        <v>16</v>
      </c>
      <c r="E161" t="s">
        <v>17</v>
      </c>
      <c r="F161" t="s">
        <v>18</v>
      </c>
      <c r="G161" t="s">
        <v>19</v>
      </c>
    </row>
    <row r="162" spans="1:7" hidden="1" x14ac:dyDescent="0.2">
      <c r="A162" t="s">
        <v>54</v>
      </c>
      <c r="B162">
        <v>6</v>
      </c>
      <c r="C162" t="s">
        <v>21</v>
      </c>
      <c r="D162" t="s">
        <v>1</v>
      </c>
      <c r="E162">
        <v>77.7894349098205</v>
      </c>
      <c r="F162">
        <v>22576</v>
      </c>
      <c r="G162">
        <v>2345</v>
      </c>
    </row>
    <row r="163" spans="1:7" hidden="1" x14ac:dyDescent="0.2">
      <c r="A163" t="s">
        <v>0</v>
      </c>
      <c r="B163" t="s">
        <v>14</v>
      </c>
      <c r="C163" t="s">
        <v>15</v>
      </c>
      <c r="D163" t="s">
        <v>16</v>
      </c>
      <c r="E163" t="s">
        <v>17</v>
      </c>
    </row>
    <row r="164" spans="1:7" hidden="1" x14ac:dyDescent="0.2">
      <c r="A164" t="s">
        <v>54</v>
      </c>
      <c r="B164">
        <v>6</v>
      </c>
      <c r="C164" t="s">
        <v>22</v>
      </c>
      <c r="D164" t="s">
        <v>23</v>
      </c>
      <c r="E164">
        <v>600.04368209838799</v>
      </c>
      <c r="F164">
        <v>88</v>
      </c>
    </row>
    <row r="165" spans="1:7" hidden="1" x14ac:dyDescent="0.2">
      <c r="A165" t="s">
        <v>0</v>
      </c>
      <c r="B165" t="s">
        <v>14</v>
      </c>
      <c r="C165" t="s">
        <v>15</v>
      </c>
      <c r="D165" t="s">
        <v>16</v>
      </c>
      <c r="E165" t="s">
        <v>17</v>
      </c>
      <c r="F165" t="s">
        <v>18</v>
      </c>
      <c r="G165" t="s">
        <v>19</v>
      </c>
    </row>
    <row r="166" spans="1:7" hidden="1" x14ac:dyDescent="0.2">
      <c r="A166" t="s">
        <v>54</v>
      </c>
      <c r="B166">
        <v>8</v>
      </c>
      <c r="C166" t="s">
        <v>21</v>
      </c>
      <c r="D166" t="s">
        <v>1</v>
      </c>
      <c r="E166">
        <v>466.035277843475</v>
      </c>
      <c r="F166">
        <v>60566</v>
      </c>
      <c r="G166">
        <v>4064</v>
      </c>
    </row>
    <row r="167" spans="1:7" hidden="1" x14ac:dyDescent="0.2">
      <c r="A167" t="s">
        <v>0</v>
      </c>
      <c r="B167" t="s">
        <v>14</v>
      </c>
      <c r="C167" t="s">
        <v>15</v>
      </c>
      <c r="D167" t="s">
        <v>16</v>
      </c>
      <c r="E167" t="s">
        <v>17</v>
      </c>
    </row>
    <row r="168" spans="1:7" hidden="1" x14ac:dyDescent="0.2">
      <c r="A168" t="s">
        <v>54</v>
      </c>
      <c r="B168">
        <v>8</v>
      </c>
      <c r="C168" t="s">
        <v>22</v>
      </c>
      <c r="D168" t="s">
        <v>23</v>
      </c>
      <c r="E168">
        <v>600.04458904266301</v>
      </c>
      <c r="F168">
        <v>89</v>
      </c>
    </row>
    <row r="169" spans="1:7" hidden="1" x14ac:dyDescent="0.2">
      <c r="A169" t="s">
        <v>0</v>
      </c>
      <c r="B169" t="s">
        <v>14</v>
      </c>
      <c r="C169" t="s">
        <v>15</v>
      </c>
      <c r="D169" t="s">
        <v>16</v>
      </c>
      <c r="E169" t="s">
        <v>17</v>
      </c>
      <c r="F169" t="s">
        <v>18</v>
      </c>
      <c r="G169" t="s">
        <v>19</v>
      </c>
    </row>
    <row r="170" spans="1:7" hidden="1" x14ac:dyDescent="0.2">
      <c r="A170" t="s">
        <v>54</v>
      </c>
      <c r="B170">
        <v>10</v>
      </c>
      <c r="C170" t="s">
        <v>21</v>
      </c>
      <c r="D170" t="s">
        <v>1</v>
      </c>
      <c r="E170">
        <v>409.01837301254199</v>
      </c>
      <c r="F170">
        <v>126193</v>
      </c>
      <c r="G170">
        <v>3610</v>
      </c>
    </row>
    <row r="171" spans="1:7" hidden="1" x14ac:dyDescent="0.2">
      <c r="A171" t="s">
        <v>0</v>
      </c>
      <c r="B171" t="s">
        <v>14</v>
      </c>
      <c r="C171" t="s">
        <v>15</v>
      </c>
      <c r="D171" t="s">
        <v>16</v>
      </c>
      <c r="E171" t="s">
        <v>17</v>
      </c>
    </row>
    <row r="172" spans="1:7" hidden="1" x14ac:dyDescent="0.2">
      <c r="A172" t="s">
        <v>54</v>
      </c>
      <c r="B172">
        <v>10</v>
      </c>
      <c r="C172" t="s">
        <v>22</v>
      </c>
      <c r="D172" t="s">
        <v>23</v>
      </c>
      <c r="E172">
        <v>600.04974699020295</v>
      </c>
      <c r="F172">
        <v>77</v>
      </c>
    </row>
    <row r="173" spans="1:7" hidden="1" x14ac:dyDescent="0.2">
      <c r="A173" t="s">
        <v>0</v>
      </c>
      <c r="B173" t="s">
        <v>14</v>
      </c>
      <c r="C173" t="s">
        <v>15</v>
      </c>
      <c r="D173" t="s">
        <v>16</v>
      </c>
      <c r="E173" t="s">
        <v>17</v>
      </c>
      <c r="F173" t="s">
        <v>18</v>
      </c>
      <c r="G173" t="s">
        <v>19</v>
      </c>
    </row>
    <row r="174" spans="1:7" hidden="1" x14ac:dyDescent="0.2">
      <c r="A174" t="s">
        <v>54</v>
      </c>
      <c r="B174">
        <v>12</v>
      </c>
      <c r="C174" t="s">
        <v>21</v>
      </c>
      <c r="D174" t="s">
        <v>1</v>
      </c>
      <c r="E174">
        <v>0.68647885322570801</v>
      </c>
      <c r="F174">
        <v>747</v>
      </c>
      <c r="G174">
        <v>52</v>
      </c>
    </row>
    <row r="175" spans="1:7" hidden="1" x14ac:dyDescent="0.2">
      <c r="A175" t="s">
        <v>0</v>
      </c>
      <c r="B175" t="s">
        <v>14</v>
      </c>
      <c r="C175" t="s">
        <v>15</v>
      </c>
      <c r="D175" t="s">
        <v>16</v>
      </c>
      <c r="E175" t="s">
        <v>17</v>
      </c>
    </row>
    <row r="176" spans="1:7" hidden="1" x14ac:dyDescent="0.2">
      <c r="A176" t="s">
        <v>54</v>
      </c>
      <c r="B176">
        <v>12</v>
      </c>
      <c r="C176" t="s">
        <v>22</v>
      </c>
      <c r="D176" t="s">
        <v>23</v>
      </c>
      <c r="E176">
        <v>600.01170206069901</v>
      </c>
      <c r="F176">
        <v>96</v>
      </c>
    </row>
    <row r="177" spans="1:7" hidden="1" x14ac:dyDescent="0.2">
      <c r="A177" t="s">
        <v>0</v>
      </c>
      <c r="B177" t="s">
        <v>14</v>
      </c>
      <c r="C177" t="s">
        <v>15</v>
      </c>
      <c r="D177" t="s">
        <v>16</v>
      </c>
      <c r="E177" t="s">
        <v>17</v>
      </c>
      <c r="F177" t="s">
        <v>18</v>
      </c>
      <c r="G177" t="s">
        <v>19</v>
      </c>
    </row>
    <row r="178" spans="1:7" hidden="1" x14ac:dyDescent="0.2">
      <c r="A178" t="s">
        <v>54</v>
      </c>
      <c r="B178">
        <v>400</v>
      </c>
      <c r="C178" t="s">
        <v>21</v>
      </c>
      <c r="D178" t="s">
        <v>1</v>
      </c>
      <c r="E178">
        <v>0.61487984657287598</v>
      </c>
      <c r="F178">
        <v>629</v>
      </c>
      <c r="G178">
        <v>43</v>
      </c>
    </row>
    <row r="179" spans="1:7" hidden="1" x14ac:dyDescent="0.2">
      <c r="A179" t="s">
        <v>0</v>
      </c>
      <c r="B179" t="s">
        <v>14</v>
      </c>
      <c r="C179" t="s">
        <v>15</v>
      </c>
      <c r="D179" t="s">
        <v>16</v>
      </c>
      <c r="E179" t="s">
        <v>17</v>
      </c>
    </row>
    <row r="180" spans="1:7" hidden="1" x14ac:dyDescent="0.2">
      <c r="A180" t="s">
        <v>54</v>
      </c>
      <c r="B180">
        <v>400</v>
      </c>
      <c r="C180" t="s">
        <v>22</v>
      </c>
      <c r="D180" t="s">
        <v>23</v>
      </c>
      <c r="E180">
        <v>600.01521301269497</v>
      </c>
      <c r="F180">
        <v>100</v>
      </c>
    </row>
    <row r="181" spans="1:7" hidden="1" x14ac:dyDescent="0.2">
      <c r="A181" t="s">
        <v>0</v>
      </c>
      <c r="B181" t="s">
        <v>14</v>
      </c>
      <c r="C181" t="s">
        <v>15</v>
      </c>
      <c r="D181" t="s">
        <v>16</v>
      </c>
      <c r="E181" t="s">
        <v>17</v>
      </c>
      <c r="F181" t="s">
        <v>18</v>
      </c>
      <c r="G181" t="s">
        <v>19</v>
      </c>
    </row>
    <row r="182" spans="1:7" hidden="1" x14ac:dyDescent="0.2">
      <c r="A182" t="s">
        <v>55</v>
      </c>
      <c r="B182">
        <v>6</v>
      </c>
      <c r="C182" t="s">
        <v>21</v>
      </c>
      <c r="D182" t="s">
        <v>1</v>
      </c>
      <c r="E182">
        <v>169.96544003486599</v>
      </c>
      <c r="F182">
        <v>23613</v>
      </c>
      <c r="G182">
        <v>3587</v>
      </c>
    </row>
    <row r="183" spans="1:7" hidden="1" x14ac:dyDescent="0.2">
      <c r="A183" t="s">
        <v>0</v>
      </c>
      <c r="B183" t="s">
        <v>14</v>
      </c>
      <c r="C183" t="s">
        <v>15</v>
      </c>
      <c r="D183" t="s">
        <v>16</v>
      </c>
      <c r="E183" t="s">
        <v>17</v>
      </c>
    </row>
    <row r="184" spans="1:7" hidden="1" x14ac:dyDescent="0.2">
      <c r="A184" t="s">
        <v>55</v>
      </c>
      <c r="B184">
        <v>6</v>
      </c>
      <c r="C184" t="s">
        <v>22</v>
      </c>
      <c r="D184" t="s">
        <v>23</v>
      </c>
      <c r="E184">
        <v>600.04326105117798</v>
      </c>
      <c r="F184">
        <v>90</v>
      </c>
    </row>
    <row r="185" spans="1:7" hidden="1" x14ac:dyDescent="0.2">
      <c r="A185" t="s">
        <v>0</v>
      </c>
      <c r="B185" t="s">
        <v>14</v>
      </c>
      <c r="C185" t="s">
        <v>15</v>
      </c>
      <c r="D185" t="s">
        <v>16</v>
      </c>
      <c r="E185" t="s">
        <v>17</v>
      </c>
      <c r="F185" t="s">
        <v>18</v>
      </c>
      <c r="G185" t="s">
        <v>19</v>
      </c>
    </row>
    <row r="186" spans="1:7" hidden="1" x14ac:dyDescent="0.2">
      <c r="A186" t="s">
        <v>55</v>
      </c>
      <c r="B186">
        <v>8</v>
      </c>
      <c r="C186" t="s">
        <v>21</v>
      </c>
      <c r="D186" t="s">
        <v>1</v>
      </c>
      <c r="E186">
        <v>245.250220060348</v>
      </c>
      <c r="F186">
        <v>45874</v>
      </c>
      <c r="G186">
        <v>5375</v>
      </c>
    </row>
    <row r="187" spans="1:7" hidden="1" x14ac:dyDescent="0.2">
      <c r="A187" t="s">
        <v>0</v>
      </c>
      <c r="B187" t="s">
        <v>14</v>
      </c>
      <c r="C187" t="s">
        <v>15</v>
      </c>
      <c r="D187" t="s">
        <v>16</v>
      </c>
      <c r="E187" t="s">
        <v>17</v>
      </c>
      <c r="F187" t="s">
        <v>18</v>
      </c>
      <c r="G187" t="s">
        <v>19</v>
      </c>
    </row>
    <row r="188" spans="1:7" hidden="1" x14ac:dyDescent="0.2">
      <c r="A188" t="s">
        <v>55</v>
      </c>
      <c r="B188">
        <v>8</v>
      </c>
      <c r="C188" t="s">
        <v>22</v>
      </c>
      <c r="D188" t="s">
        <v>23</v>
      </c>
      <c r="E188">
        <v>600.01323485374405</v>
      </c>
      <c r="F188">
        <v>92</v>
      </c>
    </row>
    <row r="189" spans="1:7" hidden="1" x14ac:dyDescent="0.2">
      <c r="A189" t="s">
        <v>0</v>
      </c>
      <c r="B189" t="s">
        <v>14</v>
      </c>
      <c r="C189" t="s">
        <v>15</v>
      </c>
      <c r="D189" t="s">
        <v>16</v>
      </c>
      <c r="E189" t="s">
        <v>17</v>
      </c>
      <c r="F189" t="s">
        <v>18</v>
      </c>
      <c r="G189" t="s">
        <v>19</v>
      </c>
    </row>
    <row r="190" spans="1:7" hidden="1" x14ac:dyDescent="0.2">
      <c r="A190" t="s">
        <v>55</v>
      </c>
      <c r="B190">
        <v>10</v>
      </c>
      <c r="C190" t="s">
        <v>21</v>
      </c>
      <c r="D190" t="s">
        <v>1</v>
      </c>
      <c r="E190">
        <v>391.62764096260003</v>
      </c>
      <c r="F190">
        <v>108377</v>
      </c>
      <c r="G190">
        <v>3236</v>
      </c>
    </row>
    <row r="191" spans="1:7" hidden="1" x14ac:dyDescent="0.2">
      <c r="A191" t="s">
        <v>0</v>
      </c>
      <c r="B191" t="s">
        <v>14</v>
      </c>
      <c r="C191" t="s">
        <v>15</v>
      </c>
      <c r="D191" t="s">
        <v>16</v>
      </c>
      <c r="E191" t="s">
        <v>17</v>
      </c>
    </row>
    <row r="192" spans="1:7" hidden="1" x14ac:dyDescent="0.2">
      <c r="A192" t="s">
        <v>55</v>
      </c>
      <c r="B192">
        <v>10</v>
      </c>
      <c r="C192" t="s">
        <v>22</v>
      </c>
      <c r="D192" t="s">
        <v>23</v>
      </c>
      <c r="E192">
        <v>600.03848600387505</v>
      </c>
      <c r="F192">
        <v>80</v>
      </c>
    </row>
    <row r="193" spans="1:7" hidden="1" x14ac:dyDescent="0.2">
      <c r="A193" t="s">
        <v>0</v>
      </c>
      <c r="B193" t="s">
        <v>14</v>
      </c>
      <c r="C193" t="s">
        <v>15</v>
      </c>
      <c r="D193" t="s">
        <v>16</v>
      </c>
      <c r="E193" t="s">
        <v>17</v>
      </c>
      <c r="F193" t="s">
        <v>18</v>
      </c>
      <c r="G193" t="s">
        <v>19</v>
      </c>
    </row>
    <row r="194" spans="1:7" hidden="1" x14ac:dyDescent="0.2">
      <c r="A194" t="s">
        <v>55</v>
      </c>
      <c r="B194">
        <v>12</v>
      </c>
      <c r="C194" t="s">
        <v>21</v>
      </c>
      <c r="D194" t="s">
        <v>1</v>
      </c>
      <c r="E194">
        <v>3.78823590278625</v>
      </c>
      <c r="F194">
        <v>4910</v>
      </c>
      <c r="G194">
        <v>152</v>
      </c>
    </row>
    <row r="195" spans="1:7" hidden="1" x14ac:dyDescent="0.2">
      <c r="A195" t="s">
        <v>0</v>
      </c>
      <c r="B195" t="s">
        <v>14</v>
      </c>
      <c r="C195" t="s">
        <v>15</v>
      </c>
      <c r="D195" t="s">
        <v>16</v>
      </c>
      <c r="E195" t="s">
        <v>17</v>
      </c>
    </row>
    <row r="196" spans="1:7" hidden="1" x14ac:dyDescent="0.2">
      <c r="A196" t="s">
        <v>55</v>
      </c>
      <c r="B196">
        <v>12</v>
      </c>
      <c r="C196" t="s">
        <v>22</v>
      </c>
      <c r="D196" t="s">
        <v>23</v>
      </c>
      <c r="E196">
        <v>360.00241303443897</v>
      </c>
      <c r="F196">
        <v>57</v>
      </c>
    </row>
    <row r="197" spans="1:7" hidden="1" x14ac:dyDescent="0.2">
      <c r="A197" t="s">
        <v>0</v>
      </c>
      <c r="B197" t="s">
        <v>14</v>
      </c>
      <c r="C197" t="s">
        <v>15</v>
      </c>
      <c r="D197" t="s">
        <v>16</v>
      </c>
      <c r="E197" t="s">
        <v>17</v>
      </c>
      <c r="F197" t="s">
        <v>18</v>
      </c>
      <c r="G197" t="s">
        <v>19</v>
      </c>
    </row>
    <row r="198" spans="1:7" hidden="1" x14ac:dyDescent="0.2">
      <c r="A198" t="s">
        <v>55</v>
      </c>
      <c r="B198">
        <v>400</v>
      </c>
      <c r="C198" t="s">
        <v>21</v>
      </c>
      <c r="D198" t="s">
        <v>1</v>
      </c>
      <c r="E198">
        <v>4.69636702537536</v>
      </c>
      <c r="F198">
        <v>4035</v>
      </c>
      <c r="G198">
        <v>143</v>
      </c>
    </row>
    <row r="199" spans="1:7" hidden="1" x14ac:dyDescent="0.2">
      <c r="A199" t="s">
        <v>0</v>
      </c>
      <c r="B199" t="s">
        <v>14</v>
      </c>
      <c r="C199" t="s">
        <v>15</v>
      </c>
      <c r="D199" t="s">
        <v>16</v>
      </c>
      <c r="E199" t="s">
        <v>17</v>
      </c>
    </row>
    <row r="200" spans="1:7" hidden="1" x14ac:dyDescent="0.2">
      <c r="A200" t="s">
        <v>55</v>
      </c>
      <c r="B200">
        <v>400</v>
      </c>
      <c r="C200" t="s">
        <v>22</v>
      </c>
      <c r="D200" t="s">
        <v>23</v>
      </c>
      <c r="E200">
        <v>600.02026891708294</v>
      </c>
      <c r="F200">
        <v>37</v>
      </c>
    </row>
    <row r="201" spans="1:7" hidden="1" x14ac:dyDescent="0.2">
      <c r="A201" t="s">
        <v>0</v>
      </c>
      <c r="B201" t="s">
        <v>14</v>
      </c>
      <c r="C201" t="s">
        <v>15</v>
      </c>
      <c r="D201" t="s">
        <v>16</v>
      </c>
      <c r="E201" t="s">
        <v>17</v>
      </c>
      <c r="F201" t="s">
        <v>18</v>
      </c>
      <c r="G201" t="s">
        <v>19</v>
      </c>
    </row>
    <row r="202" spans="1:7" hidden="1" x14ac:dyDescent="0.2">
      <c r="A202" t="s">
        <v>46</v>
      </c>
      <c r="B202">
        <v>6</v>
      </c>
      <c r="C202" t="s">
        <v>22</v>
      </c>
      <c r="D202" t="s">
        <v>58</v>
      </c>
      <c r="E202">
        <v>69.910745860000006</v>
      </c>
      <c r="F202">
        <v>17430</v>
      </c>
      <c r="G202">
        <v>2670</v>
      </c>
    </row>
    <row r="203" spans="1:7" hidden="1" x14ac:dyDescent="0.2">
      <c r="A203" t="s">
        <v>0</v>
      </c>
      <c r="B203" t="s">
        <v>14</v>
      </c>
      <c r="C203" t="s">
        <v>15</v>
      </c>
      <c r="D203" t="s">
        <v>16</v>
      </c>
      <c r="E203" t="s">
        <v>17</v>
      </c>
      <c r="F203" t="s">
        <v>18</v>
      </c>
      <c r="G203" t="s">
        <v>19</v>
      </c>
    </row>
    <row r="204" spans="1:7" hidden="1" x14ac:dyDescent="0.2">
      <c r="A204" t="s">
        <v>46</v>
      </c>
      <c r="B204">
        <v>6</v>
      </c>
      <c r="C204" t="s">
        <v>22</v>
      </c>
      <c r="D204" t="s">
        <v>59</v>
      </c>
      <c r="E204">
        <v>86.003006940000006</v>
      </c>
      <c r="F204">
        <v>17793</v>
      </c>
      <c r="G204">
        <v>2320</v>
      </c>
    </row>
    <row r="205" spans="1:7" hidden="1" x14ac:dyDescent="0.2">
      <c r="A205" t="s">
        <v>0</v>
      </c>
      <c r="B205" t="s">
        <v>14</v>
      </c>
      <c r="C205" t="s">
        <v>15</v>
      </c>
      <c r="D205" t="s">
        <v>16</v>
      </c>
      <c r="E205" t="s">
        <v>17</v>
      </c>
      <c r="F205" t="s">
        <v>18</v>
      </c>
      <c r="G205" t="s">
        <v>19</v>
      </c>
    </row>
    <row r="206" spans="1:7" hidden="1" x14ac:dyDescent="0.2">
      <c r="A206" t="s">
        <v>46</v>
      </c>
      <c r="B206">
        <v>8</v>
      </c>
      <c r="C206" t="s">
        <v>22</v>
      </c>
      <c r="D206" t="s">
        <v>58</v>
      </c>
      <c r="E206">
        <v>283.65485910000001</v>
      </c>
      <c r="F206">
        <v>66125</v>
      </c>
      <c r="G206">
        <v>4734</v>
      </c>
    </row>
    <row r="207" spans="1:7" hidden="1" x14ac:dyDescent="0.2">
      <c r="A207" t="s">
        <v>0</v>
      </c>
      <c r="B207" t="s">
        <v>14</v>
      </c>
      <c r="C207" t="s">
        <v>15</v>
      </c>
      <c r="D207" t="s">
        <v>16</v>
      </c>
      <c r="E207" t="s">
        <v>17</v>
      </c>
      <c r="F207" t="s">
        <v>18</v>
      </c>
      <c r="G207" t="s">
        <v>19</v>
      </c>
    </row>
    <row r="208" spans="1:7" hidden="1" x14ac:dyDescent="0.2">
      <c r="A208" t="s">
        <v>46</v>
      </c>
      <c r="B208">
        <v>8</v>
      </c>
      <c r="C208" t="s">
        <v>22</v>
      </c>
      <c r="D208" t="s">
        <v>59</v>
      </c>
      <c r="E208">
        <v>232.71584609999999</v>
      </c>
      <c r="F208">
        <v>41002</v>
      </c>
      <c r="G208">
        <v>4086</v>
      </c>
    </row>
    <row r="209" spans="1:7" hidden="1" x14ac:dyDescent="0.2">
      <c r="A209" t="s">
        <v>0</v>
      </c>
      <c r="B209" t="s">
        <v>14</v>
      </c>
      <c r="C209" t="s">
        <v>15</v>
      </c>
      <c r="D209" t="s">
        <v>16</v>
      </c>
      <c r="E209" t="s">
        <v>17</v>
      </c>
      <c r="F209" t="s">
        <v>18</v>
      </c>
      <c r="G209" t="s">
        <v>19</v>
      </c>
    </row>
    <row r="210" spans="1:7" hidden="1" x14ac:dyDescent="0.2">
      <c r="A210" t="s">
        <v>46</v>
      </c>
      <c r="B210">
        <v>10</v>
      </c>
      <c r="C210" t="s">
        <v>22</v>
      </c>
      <c r="D210" t="s">
        <v>58</v>
      </c>
      <c r="E210">
        <v>13.24944305</v>
      </c>
      <c r="F210">
        <v>8578</v>
      </c>
      <c r="G210">
        <v>554</v>
      </c>
    </row>
    <row r="211" spans="1:7" hidden="1" x14ac:dyDescent="0.2">
      <c r="A211" t="s">
        <v>0</v>
      </c>
      <c r="B211" t="s">
        <v>14</v>
      </c>
      <c r="C211" t="s">
        <v>15</v>
      </c>
      <c r="D211" t="s">
        <v>16</v>
      </c>
      <c r="E211" t="s">
        <v>17</v>
      </c>
      <c r="F211" t="s">
        <v>18</v>
      </c>
      <c r="G211" t="s">
        <v>19</v>
      </c>
    </row>
    <row r="212" spans="1:7" hidden="1" x14ac:dyDescent="0.2">
      <c r="A212" t="s">
        <v>46</v>
      </c>
      <c r="B212">
        <v>10</v>
      </c>
      <c r="C212" t="s">
        <v>22</v>
      </c>
      <c r="D212" t="s">
        <v>59</v>
      </c>
      <c r="E212">
        <v>24.44859314</v>
      </c>
      <c r="F212">
        <v>3740</v>
      </c>
      <c r="G212">
        <v>318</v>
      </c>
    </row>
    <row r="213" spans="1:7" hidden="1" x14ac:dyDescent="0.2">
      <c r="A213" t="s">
        <v>0</v>
      </c>
      <c r="B213" t="s">
        <v>14</v>
      </c>
      <c r="C213" t="s">
        <v>15</v>
      </c>
      <c r="D213" t="s">
        <v>16</v>
      </c>
      <c r="E213" t="s">
        <v>17</v>
      </c>
      <c r="F213" t="s">
        <v>18</v>
      </c>
      <c r="G213" t="s">
        <v>19</v>
      </c>
    </row>
    <row r="214" spans="1:7" hidden="1" x14ac:dyDescent="0.2">
      <c r="A214" t="s">
        <v>46</v>
      </c>
      <c r="B214">
        <v>12</v>
      </c>
      <c r="C214" t="s">
        <v>22</v>
      </c>
      <c r="D214" t="s">
        <v>58</v>
      </c>
      <c r="E214">
        <v>9.3993129730000007</v>
      </c>
      <c r="F214">
        <v>6732</v>
      </c>
      <c r="G214">
        <v>214</v>
      </c>
    </row>
    <row r="215" spans="1:7" hidden="1" x14ac:dyDescent="0.2">
      <c r="A215" t="s">
        <v>0</v>
      </c>
      <c r="B215" t="s">
        <v>14</v>
      </c>
      <c r="C215" t="s">
        <v>15</v>
      </c>
      <c r="D215" t="s">
        <v>16</v>
      </c>
      <c r="E215" t="s">
        <v>17</v>
      </c>
      <c r="F215" t="s">
        <v>18</v>
      </c>
      <c r="G215" t="s">
        <v>19</v>
      </c>
    </row>
    <row r="216" spans="1:7" hidden="1" x14ac:dyDescent="0.2">
      <c r="A216" t="s">
        <v>46</v>
      </c>
      <c r="B216">
        <v>12</v>
      </c>
      <c r="C216" t="s">
        <v>22</v>
      </c>
      <c r="D216" t="s">
        <v>59</v>
      </c>
      <c r="E216">
        <v>24.05518889</v>
      </c>
      <c r="F216">
        <v>4030</v>
      </c>
      <c r="G216">
        <v>144</v>
      </c>
    </row>
    <row r="217" spans="1:7" hidden="1" x14ac:dyDescent="0.2">
      <c r="A217" t="s">
        <v>0</v>
      </c>
      <c r="B217" t="s">
        <v>14</v>
      </c>
      <c r="C217" t="s">
        <v>15</v>
      </c>
      <c r="D217" t="s">
        <v>16</v>
      </c>
      <c r="E217" t="s">
        <v>17</v>
      </c>
      <c r="F217" t="s">
        <v>18</v>
      </c>
      <c r="G217" t="s">
        <v>19</v>
      </c>
    </row>
    <row r="218" spans="1:7" hidden="1" x14ac:dyDescent="0.2">
      <c r="A218" t="s">
        <v>46</v>
      </c>
      <c r="B218">
        <v>400</v>
      </c>
      <c r="C218" t="s">
        <v>22</v>
      </c>
      <c r="D218" t="s">
        <v>58</v>
      </c>
      <c r="E218">
        <v>17.40979695</v>
      </c>
      <c r="F218">
        <v>11580</v>
      </c>
      <c r="G218">
        <v>261</v>
      </c>
    </row>
    <row r="219" spans="1:7" hidden="1" x14ac:dyDescent="0.2">
      <c r="A219" t="s">
        <v>0</v>
      </c>
      <c r="B219" t="s">
        <v>14</v>
      </c>
      <c r="C219" t="s">
        <v>15</v>
      </c>
      <c r="D219" t="s">
        <v>16</v>
      </c>
      <c r="E219" t="s">
        <v>17</v>
      </c>
      <c r="F219" t="s">
        <v>18</v>
      </c>
      <c r="G219" t="s">
        <v>19</v>
      </c>
    </row>
    <row r="220" spans="1:7" hidden="1" x14ac:dyDescent="0.2">
      <c r="A220" t="s">
        <v>46</v>
      </c>
      <c r="B220">
        <v>400</v>
      </c>
      <c r="C220" t="s">
        <v>22</v>
      </c>
      <c r="D220" t="s">
        <v>59</v>
      </c>
      <c r="E220">
        <v>44.271379949999996</v>
      </c>
      <c r="F220">
        <v>16007</v>
      </c>
      <c r="G220">
        <v>238</v>
      </c>
    </row>
    <row r="221" spans="1:7" hidden="1" x14ac:dyDescent="0.2">
      <c r="A221" t="s">
        <v>0</v>
      </c>
      <c r="B221" t="s">
        <v>14</v>
      </c>
      <c r="C221" t="s">
        <v>15</v>
      </c>
      <c r="D221" t="s">
        <v>16</v>
      </c>
      <c r="E221" t="s">
        <v>17</v>
      </c>
      <c r="F221" t="s">
        <v>18</v>
      </c>
      <c r="G221" t="s">
        <v>19</v>
      </c>
    </row>
    <row r="222" spans="1:7" hidden="1" x14ac:dyDescent="0.2">
      <c r="A222" t="s">
        <v>47</v>
      </c>
      <c r="B222">
        <v>6</v>
      </c>
      <c r="C222" t="s">
        <v>22</v>
      </c>
      <c r="D222" t="s">
        <v>58</v>
      </c>
      <c r="E222">
        <v>0.12474107700000001</v>
      </c>
      <c r="F222">
        <v>24</v>
      </c>
      <c r="G222">
        <v>8</v>
      </c>
    </row>
    <row r="223" spans="1:7" hidden="1" x14ac:dyDescent="0.2">
      <c r="A223" t="s">
        <v>0</v>
      </c>
      <c r="B223" t="s">
        <v>14</v>
      </c>
      <c r="C223" t="s">
        <v>15</v>
      </c>
      <c r="D223" t="s">
        <v>16</v>
      </c>
      <c r="E223" t="s">
        <v>17</v>
      </c>
      <c r="F223" t="s">
        <v>18</v>
      </c>
      <c r="G223" t="s">
        <v>19</v>
      </c>
    </row>
    <row r="224" spans="1:7" hidden="1" x14ac:dyDescent="0.2">
      <c r="A224" t="s">
        <v>47</v>
      </c>
      <c r="B224">
        <v>6</v>
      </c>
      <c r="C224" t="s">
        <v>22</v>
      </c>
      <c r="D224" t="s">
        <v>59</v>
      </c>
      <c r="E224">
        <v>3.3145160680000001</v>
      </c>
      <c r="F224">
        <v>18</v>
      </c>
      <c r="G224">
        <v>6</v>
      </c>
    </row>
    <row r="225" spans="1:7" hidden="1" x14ac:dyDescent="0.2">
      <c r="A225" t="s">
        <v>0</v>
      </c>
      <c r="B225" t="s">
        <v>14</v>
      </c>
      <c r="C225" t="s">
        <v>15</v>
      </c>
      <c r="D225" t="s">
        <v>16</v>
      </c>
      <c r="E225" t="s">
        <v>17</v>
      </c>
      <c r="F225" t="s">
        <v>18</v>
      </c>
      <c r="G225" t="s">
        <v>19</v>
      </c>
    </row>
    <row r="226" spans="1:7" hidden="1" x14ac:dyDescent="0.2">
      <c r="A226" t="s">
        <v>47</v>
      </c>
      <c r="B226">
        <v>8</v>
      </c>
      <c r="C226" t="s">
        <v>22</v>
      </c>
      <c r="D226" t="s">
        <v>58</v>
      </c>
      <c r="E226">
        <v>0.12810301800000001</v>
      </c>
      <c r="F226">
        <v>12</v>
      </c>
      <c r="G226">
        <v>8</v>
      </c>
    </row>
    <row r="227" spans="1:7" hidden="1" x14ac:dyDescent="0.2">
      <c r="A227" t="s">
        <v>0</v>
      </c>
      <c r="B227" t="s">
        <v>14</v>
      </c>
      <c r="C227" t="s">
        <v>15</v>
      </c>
      <c r="D227" t="s">
        <v>16</v>
      </c>
      <c r="E227" t="s">
        <v>17</v>
      </c>
      <c r="F227" t="s">
        <v>18</v>
      </c>
      <c r="G227" t="s">
        <v>19</v>
      </c>
    </row>
    <row r="228" spans="1:7" hidden="1" x14ac:dyDescent="0.2">
      <c r="A228" t="s">
        <v>47</v>
      </c>
      <c r="B228">
        <v>8</v>
      </c>
      <c r="C228" t="s">
        <v>22</v>
      </c>
      <c r="D228" t="s">
        <v>59</v>
      </c>
      <c r="E228">
        <v>2.1745719910000001</v>
      </c>
      <c r="F228">
        <v>14</v>
      </c>
      <c r="G228">
        <v>8</v>
      </c>
    </row>
    <row r="229" spans="1:7" hidden="1" x14ac:dyDescent="0.2">
      <c r="A229" t="s">
        <v>0</v>
      </c>
      <c r="B229" t="s">
        <v>14</v>
      </c>
      <c r="C229" t="s">
        <v>15</v>
      </c>
      <c r="D229" t="s">
        <v>16</v>
      </c>
      <c r="E229" t="s">
        <v>17</v>
      </c>
      <c r="F229" t="s">
        <v>18</v>
      </c>
      <c r="G229" t="s">
        <v>19</v>
      </c>
    </row>
    <row r="230" spans="1:7" hidden="1" x14ac:dyDescent="0.2">
      <c r="A230" t="s">
        <v>47</v>
      </c>
      <c r="B230">
        <v>10</v>
      </c>
      <c r="C230" t="s">
        <v>22</v>
      </c>
      <c r="D230" t="s">
        <v>58</v>
      </c>
      <c r="E230">
        <v>5.3385973000000003E-2</v>
      </c>
      <c r="F230">
        <v>0</v>
      </c>
      <c r="G230">
        <v>2</v>
      </c>
    </row>
    <row r="231" spans="1:7" hidden="1" x14ac:dyDescent="0.2">
      <c r="A231" t="s">
        <v>0</v>
      </c>
      <c r="B231" t="s">
        <v>14</v>
      </c>
      <c r="C231" t="s">
        <v>15</v>
      </c>
      <c r="D231" t="s">
        <v>16</v>
      </c>
      <c r="E231" t="s">
        <v>17</v>
      </c>
      <c r="F231" t="s">
        <v>18</v>
      </c>
      <c r="G231" t="s">
        <v>19</v>
      </c>
    </row>
    <row r="232" spans="1:7" hidden="1" x14ac:dyDescent="0.2">
      <c r="A232" t="s">
        <v>47</v>
      </c>
      <c r="B232">
        <v>10</v>
      </c>
      <c r="C232" t="s">
        <v>22</v>
      </c>
      <c r="D232" t="s">
        <v>59</v>
      </c>
      <c r="E232">
        <v>4.6422005000000002E-2</v>
      </c>
      <c r="F232">
        <v>0</v>
      </c>
      <c r="G232">
        <v>2</v>
      </c>
    </row>
    <row r="233" spans="1:7" hidden="1" x14ac:dyDescent="0.2">
      <c r="A233" t="s">
        <v>0</v>
      </c>
      <c r="B233" t="s">
        <v>14</v>
      </c>
      <c r="C233" t="s">
        <v>15</v>
      </c>
      <c r="D233" t="s">
        <v>16</v>
      </c>
      <c r="E233" t="s">
        <v>17</v>
      </c>
      <c r="F233" t="s">
        <v>18</v>
      </c>
      <c r="G233" t="s">
        <v>19</v>
      </c>
    </row>
    <row r="234" spans="1:7" hidden="1" x14ac:dyDescent="0.2">
      <c r="A234" t="s">
        <v>47</v>
      </c>
      <c r="B234">
        <v>12</v>
      </c>
      <c r="C234" t="s">
        <v>22</v>
      </c>
      <c r="D234" t="s">
        <v>58</v>
      </c>
      <c r="E234">
        <v>0.24377989799999999</v>
      </c>
      <c r="F234">
        <v>10</v>
      </c>
      <c r="G234">
        <v>3</v>
      </c>
    </row>
    <row r="235" spans="1:7" hidden="1" x14ac:dyDescent="0.2">
      <c r="A235" t="s">
        <v>0</v>
      </c>
      <c r="B235" t="s">
        <v>14</v>
      </c>
      <c r="C235" t="s">
        <v>15</v>
      </c>
      <c r="D235" t="s">
        <v>16</v>
      </c>
      <c r="E235" t="s">
        <v>17</v>
      </c>
      <c r="F235" t="s">
        <v>18</v>
      </c>
      <c r="G235" t="s">
        <v>19</v>
      </c>
    </row>
    <row r="236" spans="1:7" hidden="1" x14ac:dyDescent="0.2">
      <c r="A236" t="s">
        <v>47</v>
      </c>
      <c r="B236">
        <v>12</v>
      </c>
      <c r="C236" t="s">
        <v>22</v>
      </c>
      <c r="D236" t="s">
        <v>59</v>
      </c>
      <c r="E236">
        <v>1.1334700579999999</v>
      </c>
      <c r="F236">
        <v>5</v>
      </c>
      <c r="G236">
        <v>3</v>
      </c>
    </row>
    <row r="237" spans="1:7" hidden="1" x14ac:dyDescent="0.2">
      <c r="A237" t="s">
        <v>0</v>
      </c>
      <c r="B237" t="s">
        <v>14</v>
      </c>
      <c r="C237" t="s">
        <v>15</v>
      </c>
      <c r="D237" t="s">
        <v>16</v>
      </c>
      <c r="E237" t="s">
        <v>17</v>
      </c>
      <c r="F237" t="s">
        <v>18</v>
      </c>
      <c r="G237" t="s">
        <v>19</v>
      </c>
    </row>
    <row r="238" spans="1:7" hidden="1" x14ac:dyDescent="0.2">
      <c r="A238" t="s">
        <v>47</v>
      </c>
      <c r="B238">
        <v>400</v>
      </c>
      <c r="C238" t="s">
        <v>22</v>
      </c>
      <c r="D238" t="s">
        <v>58</v>
      </c>
      <c r="E238">
        <v>0.24565720599999999</v>
      </c>
      <c r="F238">
        <v>9</v>
      </c>
      <c r="G238">
        <v>2</v>
      </c>
    </row>
    <row r="239" spans="1:7" hidden="1" x14ac:dyDescent="0.2">
      <c r="A239" t="s">
        <v>0</v>
      </c>
      <c r="B239" t="s">
        <v>14</v>
      </c>
      <c r="C239" t="s">
        <v>15</v>
      </c>
      <c r="D239" t="s">
        <v>16</v>
      </c>
      <c r="E239" t="s">
        <v>17</v>
      </c>
      <c r="F239" t="s">
        <v>18</v>
      </c>
      <c r="G239" t="s">
        <v>19</v>
      </c>
    </row>
    <row r="240" spans="1:7" hidden="1" x14ac:dyDescent="0.2">
      <c r="A240" t="s">
        <v>47</v>
      </c>
      <c r="B240">
        <v>400</v>
      </c>
      <c r="C240" t="s">
        <v>22</v>
      </c>
      <c r="D240" t="s">
        <v>59</v>
      </c>
      <c r="E240">
        <v>2.5690789220000001</v>
      </c>
      <c r="F240">
        <v>12</v>
      </c>
      <c r="G240">
        <v>2</v>
      </c>
    </row>
    <row r="241" spans="1:7" hidden="1" x14ac:dyDescent="0.2">
      <c r="A241" t="s">
        <v>0</v>
      </c>
      <c r="B241" t="s">
        <v>14</v>
      </c>
      <c r="C241" t="s">
        <v>15</v>
      </c>
      <c r="D241" t="s">
        <v>16</v>
      </c>
      <c r="E241" t="s">
        <v>17</v>
      </c>
      <c r="F241" t="s">
        <v>18</v>
      </c>
      <c r="G241" t="s">
        <v>19</v>
      </c>
    </row>
    <row r="242" spans="1:7" hidden="1" x14ac:dyDescent="0.2">
      <c r="A242" t="s">
        <v>48</v>
      </c>
      <c r="B242">
        <v>6</v>
      </c>
      <c r="C242" t="s">
        <v>22</v>
      </c>
      <c r="D242" t="s">
        <v>58</v>
      </c>
      <c r="E242">
        <v>1.6982851029999999</v>
      </c>
      <c r="F242">
        <v>895</v>
      </c>
      <c r="G242">
        <v>121</v>
      </c>
    </row>
    <row r="243" spans="1:7" hidden="1" x14ac:dyDescent="0.2">
      <c r="A243" t="s">
        <v>0</v>
      </c>
      <c r="B243" t="s">
        <v>14</v>
      </c>
      <c r="C243" t="s">
        <v>15</v>
      </c>
      <c r="D243" t="s">
        <v>16</v>
      </c>
      <c r="E243" t="s">
        <v>17</v>
      </c>
      <c r="F243" t="s">
        <v>18</v>
      </c>
      <c r="G243" t="s">
        <v>19</v>
      </c>
    </row>
    <row r="244" spans="1:7" hidden="1" x14ac:dyDescent="0.2">
      <c r="A244" t="s">
        <v>48</v>
      </c>
      <c r="B244">
        <v>6</v>
      </c>
      <c r="C244" t="s">
        <v>22</v>
      </c>
      <c r="D244" t="s">
        <v>59</v>
      </c>
      <c r="E244">
        <v>16.371105190000002</v>
      </c>
      <c r="F244">
        <v>534</v>
      </c>
      <c r="G244">
        <v>84</v>
      </c>
    </row>
    <row r="245" spans="1:7" hidden="1" x14ac:dyDescent="0.2">
      <c r="A245" t="s">
        <v>0</v>
      </c>
      <c r="B245" t="s">
        <v>14</v>
      </c>
      <c r="C245" t="s">
        <v>15</v>
      </c>
      <c r="D245" t="s">
        <v>16</v>
      </c>
      <c r="E245" t="s">
        <v>17</v>
      </c>
      <c r="F245" t="s">
        <v>18</v>
      </c>
      <c r="G245" t="s">
        <v>19</v>
      </c>
    </row>
    <row r="246" spans="1:7" hidden="1" x14ac:dyDescent="0.2">
      <c r="A246" t="s">
        <v>48</v>
      </c>
      <c r="B246">
        <v>8</v>
      </c>
      <c r="C246" t="s">
        <v>22</v>
      </c>
      <c r="D246" t="s">
        <v>58</v>
      </c>
      <c r="E246">
        <v>3.239233971</v>
      </c>
      <c r="F246">
        <v>1862</v>
      </c>
      <c r="G246">
        <v>206</v>
      </c>
    </row>
    <row r="247" spans="1:7" hidden="1" x14ac:dyDescent="0.2">
      <c r="A247" t="s">
        <v>0</v>
      </c>
      <c r="B247" t="s">
        <v>14</v>
      </c>
      <c r="C247" t="s">
        <v>15</v>
      </c>
      <c r="D247" t="s">
        <v>16</v>
      </c>
      <c r="E247" t="s">
        <v>17</v>
      </c>
      <c r="F247" t="s">
        <v>18</v>
      </c>
      <c r="G247" t="s">
        <v>19</v>
      </c>
    </row>
    <row r="248" spans="1:7" hidden="1" x14ac:dyDescent="0.2">
      <c r="A248" t="s">
        <v>48</v>
      </c>
      <c r="B248">
        <v>8</v>
      </c>
      <c r="C248" t="s">
        <v>22</v>
      </c>
      <c r="D248" t="s">
        <v>59</v>
      </c>
      <c r="E248">
        <v>18.404746060000001</v>
      </c>
      <c r="F248">
        <v>1353</v>
      </c>
      <c r="G248">
        <v>133</v>
      </c>
    </row>
    <row r="249" spans="1:7" hidden="1" x14ac:dyDescent="0.2">
      <c r="A249" t="s">
        <v>0</v>
      </c>
      <c r="B249" t="s">
        <v>14</v>
      </c>
      <c r="C249" t="s">
        <v>15</v>
      </c>
      <c r="D249" t="s">
        <v>16</v>
      </c>
      <c r="E249" t="s">
        <v>17</v>
      </c>
      <c r="F249" t="s">
        <v>18</v>
      </c>
      <c r="G249" t="s">
        <v>19</v>
      </c>
    </row>
    <row r="250" spans="1:7" hidden="1" x14ac:dyDescent="0.2">
      <c r="A250" t="s">
        <v>48</v>
      </c>
      <c r="B250">
        <v>10</v>
      </c>
      <c r="C250" t="s">
        <v>22</v>
      </c>
      <c r="D250" t="s">
        <v>58</v>
      </c>
      <c r="E250">
        <v>3.2217681410000001</v>
      </c>
      <c r="F250">
        <v>2500</v>
      </c>
      <c r="G250">
        <v>146</v>
      </c>
    </row>
    <row r="251" spans="1:7" hidden="1" x14ac:dyDescent="0.2">
      <c r="A251" t="s">
        <v>0</v>
      </c>
      <c r="B251" t="s">
        <v>14</v>
      </c>
      <c r="C251" t="s">
        <v>15</v>
      </c>
      <c r="D251" t="s">
        <v>16</v>
      </c>
      <c r="E251" t="s">
        <v>17</v>
      </c>
      <c r="F251" t="s">
        <v>18</v>
      </c>
      <c r="G251" t="s">
        <v>19</v>
      </c>
    </row>
    <row r="252" spans="1:7" hidden="1" x14ac:dyDescent="0.2">
      <c r="A252" t="s">
        <v>48</v>
      </c>
      <c r="B252">
        <v>10</v>
      </c>
      <c r="C252" t="s">
        <v>22</v>
      </c>
      <c r="D252" t="s">
        <v>59</v>
      </c>
      <c r="E252">
        <v>19.1547029</v>
      </c>
      <c r="F252">
        <v>1351</v>
      </c>
      <c r="G252">
        <v>55</v>
      </c>
    </row>
    <row r="253" spans="1:7" hidden="1" x14ac:dyDescent="0.2">
      <c r="A253" t="s">
        <v>0</v>
      </c>
      <c r="B253" t="s">
        <v>14</v>
      </c>
      <c r="C253" t="s">
        <v>15</v>
      </c>
      <c r="D253" t="s">
        <v>16</v>
      </c>
      <c r="E253" t="s">
        <v>17</v>
      </c>
      <c r="F253" t="s">
        <v>18</v>
      </c>
      <c r="G253" t="s">
        <v>19</v>
      </c>
    </row>
    <row r="254" spans="1:7" hidden="1" x14ac:dyDescent="0.2">
      <c r="A254" t="s">
        <v>48</v>
      </c>
      <c r="B254">
        <v>12</v>
      </c>
      <c r="C254" t="s">
        <v>22</v>
      </c>
      <c r="D254" t="s">
        <v>58</v>
      </c>
      <c r="E254">
        <v>0.26462888699999998</v>
      </c>
      <c r="F254">
        <v>102</v>
      </c>
      <c r="G254">
        <v>2</v>
      </c>
    </row>
    <row r="255" spans="1:7" hidden="1" x14ac:dyDescent="0.2">
      <c r="A255" t="s">
        <v>0</v>
      </c>
      <c r="B255" t="s">
        <v>14</v>
      </c>
      <c r="C255" t="s">
        <v>15</v>
      </c>
      <c r="D255" t="s">
        <v>16</v>
      </c>
      <c r="E255" t="s">
        <v>17</v>
      </c>
      <c r="F255" t="s">
        <v>18</v>
      </c>
      <c r="G255" t="s">
        <v>19</v>
      </c>
    </row>
    <row r="256" spans="1:7" hidden="1" x14ac:dyDescent="0.2">
      <c r="A256" t="s">
        <v>48</v>
      </c>
      <c r="B256">
        <v>12</v>
      </c>
      <c r="C256" t="s">
        <v>22</v>
      </c>
      <c r="D256" t="s">
        <v>59</v>
      </c>
      <c r="E256">
        <v>13.712641</v>
      </c>
      <c r="F256">
        <v>59</v>
      </c>
      <c r="G256">
        <v>2</v>
      </c>
    </row>
    <row r="257" spans="1:7" hidden="1" x14ac:dyDescent="0.2">
      <c r="A257" t="s">
        <v>0</v>
      </c>
      <c r="B257" t="s">
        <v>14</v>
      </c>
      <c r="C257" t="s">
        <v>15</v>
      </c>
      <c r="D257" t="s">
        <v>16</v>
      </c>
      <c r="E257" t="s">
        <v>17</v>
      </c>
      <c r="F257" t="s">
        <v>18</v>
      </c>
      <c r="G257" t="s">
        <v>19</v>
      </c>
    </row>
    <row r="258" spans="1:7" hidden="1" x14ac:dyDescent="0.2">
      <c r="A258" t="s">
        <v>48</v>
      </c>
      <c r="B258">
        <v>400</v>
      </c>
      <c r="C258" t="s">
        <v>22</v>
      </c>
      <c r="D258" t="s">
        <v>58</v>
      </c>
      <c r="E258">
        <v>0.22054600699999999</v>
      </c>
      <c r="F258">
        <v>130</v>
      </c>
      <c r="G258">
        <v>2</v>
      </c>
    </row>
    <row r="259" spans="1:7" hidden="1" x14ac:dyDescent="0.2">
      <c r="A259" t="s">
        <v>0</v>
      </c>
      <c r="B259" t="s">
        <v>14</v>
      </c>
      <c r="C259" t="s">
        <v>15</v>
      </c>
      <c r="D259" t="s">
        <v>16</v>
      </c>
      <c r="E259" t="s">
        <v>17</v>
      </c>
      <c r="F259" t="s">
        <v>18</v>
      </c>
      <c r="G259" t="s">
        <v>19</v>
      </c>
    </row>
    <row r="260" spans="1:7" hidden="1" x14ac:dyDescent="0.2">
      <c r="A260" t="s">
        <v>48</v>
      </c>
      <c r="B260">
        <v>400</v>
      </c>
      <c r="C260" t="s">
        <v>22</v>
      </c>
      <c r="D260" t="s">
        <v>59</v>
      </c>
      <c r="E260">
        <v>15.33560419</v>
      </c>
      <c r="F260">
        <v>74</v>
      </c>
      <c r="G260">
        <v>2</v>
      </c>
    </row>
    <row r="261" spans="1:7" hidden="1" x14ac:dyDescent="0.2">
      <c r="A261" t="s">
        <v>0</v>
      </c>
      <c r="B261" t="s">
        <v>14</v>
      </c>
      <c r="C261" t="s">
        <v>15</v>
      </c>
      <c r="D261" t="s">
        <v>16</v>
      </c>
      <c r="E261" t="s">
        <v>17</v>
      </c>
      <c r="F261" t="s">
        <v>18</v>
      </c>
      <c r="G261" t="s">
        <v>19</v>
      </c>
    </row>
    <row r="262" spans="1:7" hidden="1" x14ac:dyDescent="0.2">
      <c r="A262" t="s">
        <v>49</v>
      </c>
      <c r="B262">
        <v>6</v>
      </c>
      <c r="C262" t="s">
        <v>22</v>
      </c>
      <c r="D262" t="s">
        <v>58</v>
      </c>
      <c r="E262">
        <v>54.560335159301701</v>
      </c>
      <c r="F262">
        <v>14363</v>
      </c>
      <c r="G262">
        <v>1677</v>
      </c>
    </row>
    <row r="263" spans="1:7" hidden="1" x14ac:dyDescent="0.2">
      <c r="A263" t="s">
        <v>0</v>
      </c>
      <c r="B263" t="s">
        <v>14</v>
      </c>
      <c r="C263" t="s">
        <v>15</v>
      </c>
      <c r="D263" t="s">
        <v>16</v>
      </c>
      <c r="E263" t="s">
        <v>17</v>
      </c>
      <c r="F263" t="s">
        <v>18</v>
      </c>
      <c r="G263" t="s">
        <v>19</v>
      </c>
    </row>
    <row r="264" spans="1:7" hidden="1" x14ac:dyDescent="0.2">
      <c r="A264" t="s">
        <v>49</v>
      </c>
      <c r="B264">
        <v>6</v>
      </c>
      <c r="C264" t="s">
        <v>22</v>
      </c>
      <c r="D264" t="s">
        <v>59</v>
      </c>
      <c r="E264">
        <v>57.547971010208101</v>
      </c>
      <c r="F264">
        <v>10891</v>
      </c>
      <c r="G264">
        <v>1237</v>
      </c>
    </row>
    <row r="265" spans="1:7" hidden="1" x14ac:dyDescent="0.2">
      <c r="A265" t="s">
        <v>0</v>
      </c>
      <c r="B265" t="s">
        <v>14</v>
      </c>
      <c r="C265" t="s">
        <v>15</v>
      </c>
      <c r="D265" t="s">
        <v>16</v>
      </c>
      <c r="E265" t="s">
        <v>17</v>
      </c>
      <c r="F265" t="s">
        <v>18</v>
      </c>
      <c r="G265" t="s">
        <v>19</v>
      </c>
    </row>
    <row r="266" spans="1:7" hidden="1" x14ac:dyDescent="0.2">
      <c r="A266" t="s">
        <v>49</v>
      </c>
      <c r="B266">
        <v>8</v>
      </c>
      <c r="C266" t="s">
        <v>22</v>
      </c>
      <c r="D266" t="s">
        <v>58</v>
      </c>
      <c r="E266">
        <v>179.033820867538</v>
      </c>
      <c r="F266">
        <v>42142</v>
      </c>
      <c r="G266">
        <v>3522</v>
      </c>
    </row>
    <row r="267" spans="1:7" hidden="1" x14ac:dyDescent="0.2">
      <c r="A267" t="s">
        <v>0</v>
      </c>
      <c r="B267" t="s">
        <v>14</v>
      </c>
      <c r="C267" t="s">
        <v>15</v>
      </c>
      <c r="D267" t="s">
        <v>16</v>
      </c>
      <c r="E267" t="s">
        <v>17</v>
      </c>
      <c r="F267" t="s">
        <v>18</v>
      </c>
      <c r="G267" t="s">
        <v>19</v>
      </c>
    </row>
    <row r="268" spans="1:7" hidden="1" x14ac:dyDescent="0.2">
      <c r="A268" t="s">
        <v>49</v>
      </c>
      <c r="B268">
        <v>8</v>
      </c>
      <c r="C268" t="s">
        <v>22</v>
      </c>
      <c r="D268" t="s">
        <v>59</v>
      </c>
      <c r="E268">
        <v>166.11523103713901</v>
      </c>
      <c r="F268">
        <v>37067</v>
      </c>
      <c r="G268">
        <v>2923</v>
      </c>
    </row>
    <row r="269" spans="1:7" hidden="1" x14ac:dyDescent="0.2">
      <c r="A269" t="s">
        <v>0</v>
      </c>
      <c r="B269" t="s">
        <v>14</v>
      </c>
      <c r="C269" t="s">
        <v>15</v>
      </c>
      <c r="D269" t="s">
        <v>16</v>
      </c>
      <c r="E269" t="s">
        <v>17</v>
      </c>
      <c r="F269" t="s">
        <v>18</v>
      </c>
      <c r="G269" t="s">
        <v>19</v>
      </c>
    </row>
    <row r="270" spans="1:7" hidden="1" x14ac:dyDescent="0.2">
      <c r="A270" t="s">
        <v>49</v>
      </c>
      <c r="B270">
        <v>10</v>
      </c>
      <c r="C270" t="s">
        <v>22</v>
      </c>
      <c r="D270" t="s">
        <v>58</v>
      </c>
      <c r="E270">
        <v>516.52605390548695</v>
      </c>
      <c r="F270">
        <v>81907</v>
      </c>
      <c r="G270">
        <v>5782</v>
      </c>
    </row>
    <row r="271" spans="1:7" hidden="1" x14ac:dyDescent="0.2">
      <c r="A271" t="s">
        <v>0</v>
      </c>
      <c r="B271" t="s">
        <v>14</v>
      </c>
      <c r="C271" t="s">
        <v>15</v>
      </c>
      <c r="D271" t="s">
        <v>16</v>
      </c>
      <c r="E271" t="s">
        <v>17</v>
      </c>
      <c r="F271" t="s">
        <v>18</v>
      </c>
      <c r="G271" t="s">
        <v>19</v>
      </c>
    </row>
    <row r="272" spans="1:7" hidden="1" x14ac:dyDescent="0.2">
      <c r="A272" t="s">
        <v>49</v>
      </c>
      <c r="B272">
        <v>10</v>
      </c>
      <c r="C272" t="s">
        <v>22</v>
      </c>
      <c r="D272" t="s">
        <v>59</v>
      </c>
      <c r="E272">
        <v>439.25884389999999</v>
      </c>
      <c r="F272">
        <v>96747</v>
      </c>
      <c r="G272">
        <v>3614</v>
      </c>
    </row>
    <row r="273" spans="1:7" hidden="1" x14ac:dyDescent="0.2">
      <c r="A273" t="s">
        <v>0</v>
      </c>
      <c r="B273" t="s">
        <v>14</v>
      </c>
      <c r="C273" t="s">
        <v>15</v>
      </c>
      <c r="D273" t="s">
        <v>16</v>
      </c>
      <c r="E273" t="s">
        <v>17</v>
      </c>
      <c r="F273" t="s">
        <v>18</v>
      </c>
      <c r="G273" t="s">
        <v>19</v>
      </c>
    </row>
    <row r="274" spans="1:7" hidden="1" x14ac:dyDescent="0.2">
      <c r="A274" t="s">
        <v>49</v>
      </c>
      <c r="B274">
        <v>12</v>
      </c>
      <c r="C274" t="s">
        <v>22</v>
      </c>
      <c r="D274" t="s">
        <v>58</v>
      </c>
      <c r="E274">
        <v>0.638633966</v>
      </c>
      <c r="F274">
        <v>311</v>
      </c>
      <c r="G274">
        <v>21</v>
      </c>
    </row>
    <row r="275" spans="1:7" hidden="1" x14ac:dyDescent="0.2">
      <c r="A275" t="s">
        <v>0</v>
      </c>
      <c r="B275" t="s">
        <v>14</v>
      </c>
      <c r="C275" t="s">
        <v>15</v>
      </c>
      <c r="D275" t="s">
        <v>16</v>
      </c>
      <c r="E275" t="s">
        <v>17</v>
      </c>
      <c r="F275" t="s">
        <v>18</v>
      </c>
      <c r="G275" t="s">
        <v>19</v>
      </c>
    </row>
    <row r="276" spans="1:7" hidden="1" x14ac:dyDescent="0.2">
      <c r="A276" t="s">
        <v>49</v>
      </c>
      <c r="B276">
        <v>12</v>
      </c>
      <c r="C276" t="s">
        <v>22</v>
      </c>
      <c r="D276" t="s">
        <v>59</v>
      </c>
      <c r="E276">
        <v>15.55586791</v>
      </c>
      <c r="F276">
        <v>220</v>
      </c>
      <c r="G276">
        <v>12</v>
      </c>
    </row>
    <row r="277" spans="1:7" hidden="1" x14ac:dyDescent="0.2">
      <c r="A277" t="s">
        <v>0</v>
      </c>
      <c r="B277" t="s">
        <v>14</v>
      </c>
      <c r="C277" t="s">
        <v>15</v>
      </c>
      <c r="D277" t="s">
        <v>16</v>
      </c>
      <c r="E277" t="s">
        <v>17</v>
      </c>
      <c r="F277" t="s">
        <v>18</v>
      </c>
      <c r="G277" t="s">
        <v>19</v>
      </c>
    </row>
    <row r="278" spans="1:7" hidden="1" x14ac:dyDescent="0.2">
      <c r="A278" t="s">
        <v>49</v>
      </c>
      <c r="B278">
        <v>400</v>
      </c>
      <c r="C278" t="s">
        <v>22</v>
      </c>
      <c r="D278" t="s">
        <v>58</v>
      </c>
      <c r="E278">
        <v>2.141846895</v>
      </c>
      <c r="F278">
        <v>1795</v>
      </c>
      <c r="G278">
        <v>66</v>
      </c>
    </row>
    <row r="279" spans="1:7" hidden="1" x14ac:dyDescent="0.2">
      <c r="A279" t="s">
        <v>0</v>
      </c>
      <c r="B279" t="s">
        <v>14</v>
      </c>
      <c r="C279" t="s">
        <v>15</v>
      </c>
      <c r="D279" t="s">
        <v>16</v>
      </c>
      <c r="E279" t="s">
        <v>17</v>
      </c>
      <c r="F279" t="s">
        <v>18</v>
      </c>
      <c r="G279" t="s">
        <v>19</v>
      </c>
    </row>
    <row r="280" spans="1:7" hidden="1" x14ac:dyDescent="0.2">
      <c r="A280" t="s">
        <v>49</v>
      </c>
      <c r="B280">
        <v>400</v>
      </c>
      <c r="C280" t="s">
        <v>22</v>
      </c>
      <c r="D280" t="s">
        <v>59</v>
      </c>
      <c r="E280">
        <v>18.331933020000001</v>
      </c>
      <c r="F280">
        <v>1008</v>
      </c>
      <c r="G280">
        <v>53</v>
      </c>
    </row>
    <row r="281" spans="1:7" hidden="1" x14ac:dyDescent="0.2">
      <c r="A281" t="s">
        <v>0</v>
      </c>
      <c r="B281" t="s">
        <v>14</v>
      </c>
      <c r="C281" t="s">
        <v>15</v>
      </c>
      <c r="D281" t="s">
        <v>16</v>
      </c>
      <c r="E281" t="s">
        <v>17</v>
      </c>
      <c r="F281" t="s">
        <v>18</v>
      </c>
      <c r="G281" t="s">
        <v>19</v>
      </c>
    </row>
    <row r="282" spans="1:7" hidden="1" x14ac:dyDescent="0.2">
      <c r="A282" t="s">
        <v>50</v>
      </c>
      <c r="B282">
        <v>6</v>
      </c>
      <c r="C282" t="s">
        <v>22</v>
      </c>
      <c r="D282" t="s">
        <v>58</v>
      </c>
      <c r="E282">
        <v>11.41161013</v>
      </c>
      <c r="F282">
        <v>4793</v>
      </c>
      <c r="G282">
        <v>586</v>
      </c>
    </row>
    <row r="283" spans="1:7" hidden="1" x14ac:dyDescent="0.2">
      <c r="A283" t="s">
        <v>0</v>
      </c>
      <c r="B283" t="s">
        <v>14</v>
      </c>
      <c r="C283" t="s">
        <v>15</v>
      </c>
      <c r="D283" t="s">
        <v>16</v>
      </c>
      <c r="E283" t="s">
        <v>17</v>
      </c>
      <c r="F283" t="s">
        <v>18</v>
      </c>
      <c r="G283" t="s">
        <v>19</v>
      </c>
    </row>
    <row r="284" spans="1:7" hidden="1" x14ac:dyDescent="0.2">
      <c r="A284" t="s">
        <v>50</v>
      </c>
      <c r="B284">
        <v>6</v>
      </c>
      <c r="C284" t="s">
        <v>22</v>
      </c>
      <c r="D284" t="s">
        <v>59</v>
      </c>
      <c r="E284">
        <v>23.782409909999998</v>
      </c>
      <c r="F284">
        <v>3363</v>
      </c>
      <c r="G284">
        <v>363</v>
      </c>
    </row>
    <row r="285" spans="1:7" hidden="1" x14ac:dyDescent="0.2">
      <c r="A285" t="s">
        <v>0</v>
      </c>
      <c r="B285" t="s">
        <v>14</v>
      </c>
      <c r="C285" t="s">
        <v>15</v>
      </c>
      <c r="D285" t="s">
        <v>16</v>
      </c>
      <c r="E285" t="s">
        <v>17</v>
      </c>
      <c r="F285" t="s">
        <v>18</v>
      </c>
      <c r="G285" t="s">
        <v>19</v>
      </c>
    </row>
    <row r="286" spans="1:7" hidden="1" x14ac:dyDescent="0.2">
      <c r="A286" t="s">
        <v>50</v>
      </c>
      <c r="B286">
        <v>8</v>
      </c>
      <c r="C286" t="s">
        <v>22</v>
      </c>
      <c r="D286" t="s">
        <v>58</v>
      </c>
      <c r="E286">
        <v>20.968368049999999</v>
      </c>
      <c r="F286">
        <v>9459</v>
      </c>
      <c r="G286">
        <v>811</v>
      </c>
    </row>
    <row r="287" spans="1:7" hidden="1" x14ac:dyDescent="0.2">
      <c r="A287" t="s">
        <v>0</v>
      </c>
      <c r="B287" t="s">
        <v>14</v>
      </c>
      <c r="C287" t="s">
        <v>15</v>
      </c>
      <c r="D287" t="s">
        <v>16</v>
      </c>
      <c r="E287" t="s">
        <v>17</v>
      </c>
      <c r="F287" t="s">
        <v>18</v>
      </c>
      <c r="G287" t="s">
        <v>19</v>
      </c>
    </row>
    <row r="288" spans="1:7" hidden="1" x14ac:dyDescent="0.2">
      <c r="A288" t="s">
        <v>50</v>
      </c>
      <c r="B288">
        <v>8</v>
      </c>
      <c r="C288" t="s">
        <v>22</v>
      </c>
      <c r="D288" t="s">
        <v>59</v>
      </c>
      <c r="E288">
        <v>35.32733202</v>
      </c>
      <c r="F288">
        <v>6300</v>
      </c>
      <c r="G288">
        <v>507</v>
      </c>
    </row>
    <row r="289" spans="1:7" hidden="1" x14ac:dyDescent="0.2">
      <c r="A289" t="s">
        <v>0</v>
      </c>
      <c r="B289" t="s">
        <v>14</v>
      </c>
      <c r="C289" t="s">
        <v>15</v>
      </c>
      <c r="D289" t="s">
        <v>16</v>
      </c>
      <c r="E289" t="s">
        <v>17</v>
      </c>
      <c r="F289" t="s">
        <v>18</v>
      </c>
      <c r="G289" t="s">
        <v>19</v>
      </c>
    </row>
    <row r="290" spans="1:7" hidden="1" x14ac:dyDescent="0.2">
      <c r="A290" t="s">
        <v>50</v>
      </c>
      <c r="B290">
        <v>10</v>
      </c>
      <c r="C290" t="s">
        <v>22</v>
      </c>
      <c r="D290" t="s">
        <v>58</v>
      </c>
      <c r="E290">
        <v>175.8642399</v>
      </c>
      <c r="F290">
        <v>73744</v>
      </c>
      <c r="G290">
        <v>1933</v>
      </c>
    </row>
    <row r="291" spans="1:7" hidden="1" x14ac:dyDescent="0.2">
      <c r="A291" t="s">
        <v>0</v>
      </c>
      <c r="B291" t="s">
        <v>14</v>
      </c>
      <c r="C291" t="s">
        <v>15</v>
      </c>
      <c r="D291" t="s">
        <v>16</v>
      </c>
      <c r="E291" t="s">
        <v>17</v>
      </c>
      <c r="F291" t="s">
        <v>18</v>
      </c>
      <c r="G291" t="s">
        <v>19</v>
      </c>
    </row>
    <row r="292" spans="1:7" hidden="1" x14ac:dyDescent="0.2">
      <c r="A292" t="s">
        <v>50</v>
      </c>
      <c r="B292">
        <v>10</v>
      </c>
      <c r="C292" t="s">
        <v>22</v>
      </c>
      <c r="D292" t="s">
        <v>59</v>
      </c>
      <c r="E292">
        <v>100.5862391</v>
      </c>
      <c r="F292">
        <v>42379</v>
      </c>
      <c r="G292">
        <v>1184</v>
      </c>
    </row>
    <row r="293" spans="1:7" hidden="1" x14ac:dyDescent="0.2">
      <c r="A293" t="s">
        <v>0</v>
      </c>
      <c r="B293" t="s">
        <v>14</v>
      </c>
      <c r="C293" t="s">
        <v>15</v>
      </c>
      <c r="D293" t="s">
        <v>16</v>
      </c>
      <c r="E293" t="s">
        <v>17</v>
      </c>
      <c r="F293" t="s">
        <v>18</v>
      </c>
      <c r="G293" t="s">
        <v>19</v>
      </c>
    </row>
    <row r="294" spans="1:7" hidden="1" x14ac:dyDescent="0.2">
      <c r="A294" t="s">
        <v>50</v>
      </c>
      <c r="B294">
        <v>12</v>
      </c>
      <c r="C294" t="s">
        <v>22</v>
      </c>
      <c r="D294" t="s">
        <v>58</v>
      </c>
      <c r="E294">
        <v>4.1288218499999996</v>
      </c>
      <c r="F294">
        <v>2538</v>
      </c>
      <c r="G294">
        <v>105</v>
      </c>
    </row>
    <row r="295" spans="1:7" hidden="1" x14ac:dyDescent="0.2">
      <c r="A295" t="s">
        <v>0</v>
      </c>
      <c r="B295" t="s">
        <v>14</v>
      </c>
      <c r="C295" t="s">
        <v>15</v>
      </c>
      <c r="D295" t="s">
        <v>16</v>
      </c>
      <c r="E295" t="s">
        <v>17</v>
      </c>
      <c r="F295" t="s">
        <v>18</v>
      </c>
      <c r="G295" t="s">
        <v>19</v>
      </c>
    </row>
    <row r="296" spans="1:7" hidden="1" x14ac:dyDescent="0.2">
      <c r="A296" t="s">
        <v>50</v>
      </c>
      <c r="B296">
        <v>12</v>
      </c>
      <c r="C296" t="s">
        <v>22</v>
      </c>
      <c r="D296" t="s">
        <v>59</v>
      </c>
      <c r="E296">
        <v>19.904484029999999</v>
      </c>
      <c r="F296">
        <v>765</v>
      </c>
      <c r="G296">
        <v>59</v>
      </c>
    </row>
    <row r="297" spans="1:7" hidden="1" x14ac:dyDescent="0.2">
      <c r="A297" t="s">
        <v>0</v>
      </c>
      <c r="B297" t="s">
        <v>14</v>
      </c>
      <c r="C297" t="s">
        <v>15</v>
      </c>
      <c r="D297" t="s">
        <v>16</v>
      </c>
      <c r="E297" t="s">
        <v>17</v>
      </c>
      <c r="F297" t="s">
        <v>18</v>
      </c>
      <c r="G297" t="s">
        <v>19</v>
      </c>
    </row>
    <row r="298" spans="1:7" hidden="1" x14ac:dyDescent="0.2">
      <c r="A298" t="s">
        <v>50</v>
      </c>
      <c r="B298">
        <v>400</v>
      </c>
      <c r="C298" t="s">
        <v>22</v>
      </c>
      <c r="D298" t="s">
        <v>58</v>
      </c>
      <c r="E298">
        <v>19.328453060000001</v>
      </c>
      <c r="F298">
        <v>12315</v>
      </c>
      <c r="G298">
        <v>235</v>
      </c>
    </row>
    <row r="299" spans="1:7" hidden="1" x14ac:dyDescent="0.2">
      <c r="A299" t="s">
        <v>0</v>
      </c>
      <c r="B299" t="s">
        <v>14</v>
      </c>
      <c r="C299" t="s">
        <v>15</v>
      </c>
      <c r="D299" t="s">
        <v>16</v>
      </c>
      <c r="E299" t="s">
        <v>17</v>
      </c>
      <c r="F299" t="s">
        <v>18</v>
      </c>
      <c r="G299" t="s">
        <v>19</v>
      </c>
    </row>
    <row r="300" spans="1:7" hidden="1" x14ac:dyDescent="0.2">
      <c r="A300" t="s">
        <v>50</v>
      </c>
      <c r="B300">
        <v>400</v>
      </c>
      <c r="C300" t="s">
        <v>22</v>
      </c>
      <c r="D300" t="s">
        <v>59</v>
      </c>
      <c r="E300">
        <v>38.459146019999999</v>
      </c>
      <c r="F300">
        <v>9137</v>
      </c>
      <c r="G300">
        <v>244</v>
      </c>
    </row>
    <row r="301" spans="1:7" hidden="1" x14ac:dyDescent="0.2">
      <c r="A301" t="s">
        <v>0</v>
      </c>
      <c r="B301" t="s">
        <v>14</v>
      </c>
      <c r="C301" t="s">
        <v>15</v>
      </c>
      <c r="D301" t="s">
        <v>16</v>
      </c>
      <c r="E301" t="s">
        <v>17</v>
      </c>
      <c r="F301" t="s">
        <v>18</v>
      </c>
      <c r="G301" t="s">
        <v>19</v>
      </c>
    </row>
    <row r="302" spans="1:7" hidden="1" x14ac:dyDescent="0.2">
      <c r="A302" t="s">
        <v>51</v>
      </c>
      <c r="B302">
        <v>6</v>
      </c>
      <c r="C302" t="s">
        <v>22</v>
      </c>
      <c r="D302" t="s">
        <v>58</v>
      </c>
      <c r="E302">
        <v>0.24815487899999999</v>
      </c>
      <c r="F302">
        <v>32</v>
      </c>
      <c r="G302">
        <v>9</v>
      </c>
    </row>
    <row r="303" spans="1:7" hidden="1" x14ac:dyDescent="0.2">
      <c r="A303" t="s">
        <v>0</v>
      </c>
      <c r="B303" t="s">
        <v>14</v>
      </c>
      <c r="C303" t="s">
        <v>15</v>
      </c>
      <c r="D303" t="s">
        <v>16</v>
      </c>
      <c r="E303" t="s">
        <v>17</v>
      </c>
      <c r="F303" t="s">
        <v>18</v>
      </c>
      <c r="G303" t="s">
        <v>19</v>
      </c>
    </row>
    <row r="304" spans="1:7" hidden="1" x14ac:dyDescent="0.2">
      <c r="A304" t="s">
        <v>51</v>
      </c>
      <c r="B304">
        <v>6</v>
      </c>
      <c r="C304" t="s">
        <v>22</v>
      </c>
      <c r="D304" t="s">
        <v>59</v>
      </c>
      <c r="E304">
        <v>6.3375780580000001</v>
      </c>
      <c r="F304">
        <v>37</v>
      </c>
      <c r="G304">
        <v>6</v>
      </c>
    </row>
    <row r="305" spans="1:7" hidden="1" x14ac:dyDescent="0.2">
      <c r="A305" t="s">
        <v>0</v>
      </c>
      <c r="B305" t="s">
        <v>14</v>
      </c>
      <c r="C305" t="s">
        <v>15</v>
      </c>
      <c r="D305" t="s">
        <v>16</v>
      </c>
      <c r="E305" t="s">
        <v>17</v>
      </c>
      <c r="F305" t="s">
        <v>18</v>
      </c>
      <c r="G305" t="s">
        <v>19</v>
      </c>
    </row>
    <row r="306" spans="1:7" hidden="1" x14ac:dyDescent="0.2">
      <c r="A306" t="s">
        <v>51</v>
      </c>
      <c r="B306">
        <v>8</v>
      </c>
      <c r="C306" t="s">
        <v>22</v>
      </c>
      <c r="D306" t="s">
        <v>58</v>
      </c>
      <c r="E306">
        <v>6.4742088000000003E-2</v>
      </c>
      <c r="F306">
        <v>0</v>
      </c>
      <c r="G306">
        <v>2</v>
      </c>
    </row>
    <row r="307" spans="1:7" hidden="1" x14ac:dyDescent="0.2">
      <c r="A307" t="s">
        <v>0</v>
      </c>
      <c r="B307" t="s">
        <v>14</v>
      </c>
      <c r="C307" t="s">
        <v>15</v>
      </c>
      <c r="D307" t="s">
        <v>16</v>
      </c>
      <c r="E307" t="s">
        <v>17</v>
      </c>
      <c r="F307" t="s">
        <v>18</v>
      </c>
      <c r="G307" t="s">
        <v>19</v>
      </c>
    </row>
    <row r="308" spans="1:7" hidden="1" x14ac:dyDescent="0.2">
      <c r="A308" t="s">
        <v>51</v>
      </c>
      <c r="B308">
        <v>8</v>
      </c>
      <c r="C308" t="s">
        <v>22</v>
      </c>
      <c r="D308" t="s">
        <v>59</v>
      </c>
      <c r="E308">
        <v>8.0514907999999996E-2</v>
      </c>
      <c r="F308">
        <v>0</v>
      </c>
      <c r="G308">
        <v>2</v>
      </c>
    </row>
    <row r="309" spans="1:7" hidden="1" x14ac:dyDescent="0.2">
      <c r="A309" t="s">
        <v>0</v>
      </c>
      <c r="B309" t="s">
        <v>14</v>
      </c>
      <c r="C309" t="s">
        <v>15</v>
      </c>
      <c r="D309" t="s">
        <v>16</v>
      </c>
      <c r="E309" t="s">
        <v>17</v>
      </c>
      <c r="F309" t="s">
        <v>18</v>
      </c>
      <c r="G309" t="s">
        <v>19</v>
      </c>
    </row>
    <row r="310" spans="1:7" hidden="1" x14ac:dyDescent="0.2">
      <c r="A310" t="s">
        <v>51</v>
      </c>
      <c r="B310">
        <v>10</v>
      </c>
      <c r="C310" t="s">
        <v>22</v>
      </c>
      <c r="D310" t="s">
        <v>58</v>
      </c>
      <c r="E310">
        <v>0.18231391899999999</v>
      </c>
      <c r="F310">
        <v>44</v>
      </c>
      <c r="G310">
        <v>9</v>
      </c>
    </row>
    <row r="311" spans="1:7" hidden="1" x14ac:dyDescent="0.2">
      <c r="A311" t="s">
        <v>0</v>
      </c>
      <c r="B311" t="s">
        <v>14</v>
      </c>
      <c r="C311" t="s">
        <v>15</v>
      </c>
      <c r="D311" t="s">
        <v>16</v>
      </c>
      <c r="E311" t="s">
        <v>17</v>
      </c>
      <c r="F311" t="s">
        <v>18</v>
      </c>
      <c r="G311" t="s">
        <v>19</v>
      </c>
    </row>
    <row r="312" spans="1:7" hidden="1" x14ac:dyDescent="0.2">
      <c r="A312" t="s">
        <v>51</v>
      </c>
      <c r="B312">
        <v>10</v>
      </c>
      <c r="C312" t="s">
        <v>22</v>
      </c>
      <c r="D312" t="s">
        <v>59</v>
      </c>
      <c r="E312">
        <v>4.8068690299999997</v>
      </c>
      <c r="F312">
        <v>18</v>
      </c>
      <c r="G312">
        <v>2</v>
      </c>
    </row>
    <row r="313" spans="1:7" hidden="1" x14ac:dyDescent="0.2">
      <c r="A313" t="s">
        <v>0</v>
      </c>
      <c r="B313" t="s">
        <v>14</v>
      </c>
      <c r="C313" t="s">
        <v>15</v>
      </c>
      <c r="D313" t="s">
        <v>16</v>
      </c>
      <c r="E313" t="s">
        <v>17</v>
      </c>
      <c r="F313" t="s">
        <v>18</v>
      </c>
      <c r="G313" t="s">
        <v>19</v>
      </c>
    </row>
    <row r="314" spans="1:7" hidden="1" x14ac:dyDescent="0.2">
      <c r="A314" t="s">
        <v>51</v>
      </c>
      <c r="B314">
        <v>12</v>
      </c>
      <c r="C314" t="s">
        <v>22</v>
      </c>
      <c r="D314" t="s">
        <v>58</v>
      </c>
      <c r="E314">
        <v>0.90972399699999995</v>
      </c>
      <c r="F314">
        <v>545</v>
      </c>
      <c r="G314">
        <v>22</v>
      </c>
    </row>
    <row r="315" spans="1:7" hidden="1" x14ac:dyDescent="0.2">
      <c r="A315" t="s">
        <v>0</v>
      </c>
      <c r="B315" t="s">
        <v>14</v>
      </c>
      <c r="C315" t="s">
        <v>15</v>
      </c>
      <c r="D315" t="s">
        <v>16</v>
      </c>
      <c r="E315" t="s">
        <v>17</v>
      </c>
      <c r="F315" t="s">
        <v>18</v>
      </c>
      <c r="G315" t="s">
        <v>19</v>
      </c>
    </row>
    <row r="316" spans="1:7" hidden="1" x14ac:dyDescent="0.2">
      <c r="A316" t="s">
        <v>51</v>
      </c>
      <c r="B316">
        <v>12</v>
      </c>
      <c r="C316" t="s">
        <v>22</v>
      </c>
      <c r="D316" t="s">
        <v>59</v>
      </c>
      <c r="E316">
        <v>19.21055102</v>
      </c>
      <c r="F316">
        <v>324</v>
      </c>
      <c r="G316">
        <v>15</v>
      </c>
    </row>
    <row r="317" spans="1:7" hidden="1" x14ac:dyDescent="0.2">
      <c r="A317" t="s">
        <v>0</v>
      </c>
      <c r="B317" t="s">
        <v>14</v>
      </c>
      <c r="C317" t="s">
        <v>15</v>
      </c>
      <c r="D317" t="s">
        <v>16</v>
      </c>
      <c r="E317" t="s">
        <v>17</v>
      </c>
      <c r="F317" t="s">
        <v>18</v>
      </c>
      <c r="G317" t="s">
        <v>19</v>
      </c>
    </row>
    <row r="318" spans="1:7" hidden="1" x14ac:dyDescent="0.2">
      <c r="A318" t="s">
        <v>51</v>
      </c>
      <c r="B318">
        <v>400</v>
      </c>
      <c r="C318" t="s">
        <v>22</v>
      </c>
      <c r="D318" t="s">
        <v>58</v>
      </c>
      <c r="E318">
        <v>1.3601500989999999</v>
      </c>
      <c r="F318">
        <v>654</v>
      </c>
      <c r="G318">
        <v>17</v>
      </c>
    </row>
    <row r="319" spans="1:7" hidden="1" x14ac:dyDescent="0.2">
      <c r="A319" t="s">
        <v>0</v>
      </c>
      <c r="B319" t="s">
        <v>14</v>
      </c>
      <c r="C319" t="s">
        <v>15</v>
      </c>
      <c r="D319" t="s">
        <v>16</v>
      </c>
      <c r="E319" t="s">
        <v>17</v>
      </c>
      <c r="F319" t="s">
        <v>18</v>
      </c>
      <c r="G319" t="s">
        <v>19</v>
      </c>
    </row>
    <row r="320" spans="1:7" hidden="1" x14ac:dyDescent="0.2">
      <c r="A320" t="s">
        <v>51</v>
      </c>
      <c r="B320">
        <v>400</v>
      </c>
      <c r="C320" t="s">
        <v>22</v>
      </c>
      <c r="D320" t="s">
        <v>59</v>
      </c>
      <c r="E320">
        <v>19.444469210000001</v>
      </c>
      <c r="F320">
        <v>372</v>
      </c>
      <c r="G320">
        <v>15</v>
      </c>
    </row>
    <row r="321" spans="1:7" hidden="1" x14ac:dyDescent="0.2">
      <c r="A321" t="s">
        <v>0</v>
      </c>
      <c r="B321" t="s">
        <v>14</v>
      </c>
      <c r="C321" t="s">
        <v>15</v>
      </c>
      <c r="D321" t="s">
        <v>16</v>
      </c>
      <c r="E321" t="s">
        <v>17</v>
      </c>
      <c r="F321" t="s">
        <v>18</v>
      </c>
      <c r="G321" t="s">
        <v>19</v>
      </c>
    </row>
    <row r="322" spans="1:7" hidden="1" x14ac:dyDescent="0.2">
      <c r="A322" t="s">
        <v>52</v>
      </c>
      <c r="B322">
        <v>6</v>
      </c>
      <c r="C322" t="s">
        <v>22</v>
      </c>
      <c r="D322" t="s">
        <v>58</v>
      </c>
      <c r="E322">
        <v>90.723731040000004</v>
      </c>
      <c r="F322">
        <v>12485</v>
      </c>
      <c r="G322">
        <v>2376</v>
      </c>
    </row>
    <row r="323" spans="1:7" hidden="1" x14ac:dyDescent="0.2">
      <c r="A323" t="s">
        <v>0</v>
      </c>
      <c r="B323" t="s">
        <v>14</v>
      </c>
      <c r="C323" t="s">
        <v>15</v>
      </c>
      <c r="D323" t="s">
        <v>16</v>
      </c>
      <c r="E323" t="s">
        <v>17</v>
      </c>
      <c r="F323" t="s">
        <v>18</v>
      </c>
      <c r="G323" t="s">
        <v>19</v>
      </c>
    </row>
    <row r="324" spans="1:7" hidden="1" x14ac:dyDescent="0.2">
      <c r="A324" t="s">
        <v>52</v>
      </c>
      <c r="B324">
        <v>6</v>
      </c>
      <c r="C324" t="s">
        <v>22</v>
      </c>
      <c r="D324" t="s">
        <v>59</v>
      </c>
      <c r="E324">
        <v>122.53656580000001</v>
      </c>
      <c r="F324">
        <v>14128</v>
      </c>
      <c r="G324">
        <v>2233</v>
      </c>
    </row>
    <row r="325" spans="1:7" hidden="1" x14ac:dyDescent="0.2">
      <c r="A325" t="s">
        <v>0</v>
      </c>
      <c r="B325" t="s">
        <v>14</v>
      </c>
      <c r="C325" t="s">
        <v>15</v>
      </c>
      <c r="D325" t="s">
        <v>16</v>
      </c>
      <c r="E325" t="s">
        <v>17</v>
      </c>
      <c r="F325" t="s">
        <v>18</v>
      </c>
      <c r="G325" t="s">
        <v>19</v>
      </c>
    </row>
    <row r="326" spans="1:7" hidden="1" x14ac:dyDescent="0.2">
      <c r="A326" t="s">
        <v>52</v>
      </c>
      <c r="B326">
        <v>8</v>
      </c>
      <c r="C326" t="s">
        <v>22</v>
      </c>
      <c r="D326" t="s">
        <v>58</v>
      </c>
      <c r="E326">
        <v>178.2809589</v>
      </c>
      <c r="F326">
        <v>30109</v>
      </c>
      <c r="G326">
        <v>3224</v>
      </c>
    </row>
    <row r="327" spans="1:7" hidden="1" x14ac:dyDescent="0.2">
      <c r="A327" t="s">
        <v>0</v>
      </c>
      <c r="B327" t="s">
        <v>14</v>
      </c>
      <c r="C327" t="s">
        <v>15</v>
      </c>
      <c r="D327" t="s">
        <v>16</v>
      </c>
      <c r="E327" t="s">
        <v>17</v>
      </c>
      <c r="F327" t="s">
        <v>18</v>
      </c>
      <c r="G327" t="s">
        <v>19</v>
      </c>
    </row>
    <row r="328" spans="1:7" hidden="1" x14ac:dyDescent="0.2">
      <c r="A328" t="s">
        <v>52</v>
      </c>
      <c r="B328">
        <v>8</v>
      </c>
      <c r="C328" t="s">
        <v>22</v>
      </c>
      <c r="D328" t="s">
        <v>59</v>
      </c>
      <c r="E328">
        <v>194.19894310000001</v>
      </c>
      <c r="F328">
        <v>27801</v>
      </c>
      <c r="G328">
        <v>2819</v>
      </c>
    </row>
    <row r="329" spans="1:7" hidden="1" x14ac:dyDescent="0.2">
      <c r="A329" t="s">
        <v>0</v>
      </c>
      <c r="B329" t="s">
        <v>14</v>
      </c>
      <c r="C329" t="s">
        <v>15</v>
      </c>
      <c r="D329" t="s">
        <v>16</v>
      </c>
      <c r="E329" t="s">
        <v>17</v>
      </c>
      <c r="F329" t="s">
        <v>18</v>
      </c>
      <c r="G329" t="s">
        <v>19</v>
      </c>
    </row>
    <row r="330" spans="1:7" hidden="1" x14ac:dyDescent="0.2">
      <c r="A330" t="s">
        <v>52</v>
      </c>
      <c r="B330">
        <v>10</v>
      </c>
      <c r="C330" t="s">
        <v>22</v>
      </c>
      <c r="D330" t="s">
        <v>58</v>
      </c>
      <c r="E330">
        <v>35.48562312</v>
      </c>
      <c r="F330">
        <v>19670</v>
      </c>
      <c r="G330">
        <v>985</v>
      </c>
    </row>
    <row r="331" spans="1:7" hidden="1" x14ac:dyDescent="0.2">
      <c r="A331" t="s">
        <v>0</v>
      </c>
      <c r="B331" t="s">
        <v>14</v>
      </c>
      <c r="C331" t="s">
        <v>15</v>
      </c>
      <c r="D331" t="s">
        <v>16</v>
      </c>
      <c r="E331" t="s">
        <v>17</v>
      </c>
      <c r="F331" t="s">
        <v>18</v>
      </c>
      <c r="G331" t="s">
        <v>19</v>
      </c>
    </row>
    <row r="332" spans="1:7" hidden="1" x14ac:dyDescent="0.2">
      <c r="A332" t="s">
        <v>52</v>
      </c>
      <c r="B332">
        <v>10</v>
      </c>
      <c r="C332" t="s">
        <v>22</v>
      </c>
      <c r="D332" t="s">
        <v>59</v>
      </c>
      <c r="E332">
        <v>32.944952010000002</v>
      </c>
      <c r="F332">
        <v>8230</v>
      </c>
      <c r="G332">
        <v>497</v>
      </c>
    </row>
    <row r="333" spans="1:7" hidden="1" x14ac:dyDescent="0.2">
      <c r="A333" t="s">
        <v>0</v>
      </c>
      <c r="B333" t="s">
        <v>14</v>
      </c>
      <c r="C333" t="s">
        <v>15</v>
      </c>
      <c r="D333" t="s">
        <v>16</v>
      </c>
      <c r="E333" t="s">
        <v>17</v>
      </c>
      <c r="F333" t="s">
        <v>18</v>
      </c>
      <c r="G333" t="s">
        <v>19</v>
      </c>
    </row>
    <row r="334" spans="1:7" hidden="1" x14ac:dyDescent="0.2">
      <c r="A334" t="s">
        <v>52</v>
      </c>
      <c r="B334">
        <v>12</v>
      </c>
      <c r="C334" t="s">
        <v>22</v>
      </c>
      <c r="D334" t="s">
        <v>58</v>
      </c>
      <c r="E334">
        <v>0.42065382000000001</v>
      </c>
      <c r="F334">
        <v>164</v>
      </c>
      <c r="G334">
        <v>13</v>
      </c>
    </row>
    <row r="335" spans="1:7" hidden="1" x14ac:dyDescent="0.2">
      <c r="A335" t="s">
        <v>0</v>
      </c>
      <c r="B335" t="s">
        <v>14</v>
      </c>
      <c r="C335" t="s">
        <v>15</v>
      </c>
      <c r="D335" t="s">
        <v>16</v>
      </c>
      <c r="E335" t="s">
        <v>17</v>
      </c>
      <c r="F335" t="s">
        <v>18</v>
      </c>
      <c r="G335" t="s">
        <v>19</v>
      </c>
    </row>
    <row r="336" spans="1:7" hidden="1" x14ac:dyDescent="0.2">
      <c r="A336" t="s">
        <v>52</v>
      </c>
      <c r="B336">
        <v>12</v>
      </c>
      <c r="C336" t="s">
        <v>22</v>
      </c>
      <c r="D336" t="s">
        <v>59</v>
      </c>
      <c r="E336">
        <v>12.629801990000001</v>
      </c>
      <c r="F336">
        <v>60</v>
      </c>
      <c r="G336">
        <v>5</v>
      </c>
    </row>
    <row r="337" spans="1:7" hidden="1" x14ac:dyDescent="0.2">
      <c r="A337" t="s">
        <v>0</v>
      </c>
      <c r="B337" t="s">
        <v>14</v>
      </c>
      <c r="C337" t="s">
        <v>15</v>
      </c>
      <c r="D337" t="s">
        <v>16</v>
      </c>
      <c r="E337" t="s">
        <v>17</v>
      </c>
      <c r="F337" t="s">
        <v>18</v>
      </c>
      <c r="G337" t="s">
        <v>19</v>
      </c>
    </row>
    <row r="338" spans="1:7" hidden="1" x14ac:dyDescent="0.2">
      <c r="A338" t="s">
        <v>52</v>
      </c>
      <c r="B338">
        <v>400</v>
      </c>
      <c r="C338" t="s">
        <v>22</v>
      </c>
      <c r="D338" t="s">
        <v>58</v>
      </c>
      <c r="E338">
        <v>2.092519045</v>
      </c>
      <c r="F338">
        <v>1412</v>
      </c>
      <c r="G338">
        <v>64</v>
      </c>
    </row>
    <row r="339" spans="1:7" hidden="1" x14ac:dyDescent="0.2">
      <c r="A339" t="s">
        <v>0</v>
      </c>
      <c r="B339" t="s">
        <v>14</v>
      </c>
      <c r="C339" t="s">
        <v>15</v>
      </c>
      <c r="D339" t="s">
        <v>16</v>
      </c>
      <c r="E339" t="s">
        <v>17</v>
      </c>
      <c r="F339" t="s">
        <v>18</v>
      </c>
      <c r="G339" t="s">
        <v>19</v>
      </c>
    </row>
    <row r="340" spans="1:7" hidden="1" x14ac:dyDescent="0.2">
      <c r="A340" t="s">
        <v>52</v>
      </c>
      <c r="B340">
        <v>400</v>
      </c>
      <c r="C340" t="s">
        <v>22</v>
      </c>
      <c r="D340" t="s">
        <v>59</v>
      </c>
      <c r="E340">
        <v>17.733170990000001</v>
      </c>
      <c r="F340">
        <v>893</v>
      </c>
      <c r="G340">
        <v>42</v>
      </c>
    </row>
    <row r="341" spans="1:7" hidden="1" x14ac:dyDescent="0.2">
      <c r="A341" t="s">
        <v>0</v>
      </c>
      <c r="B341" t="s">
        <v>14</v>
      </c>
      <c r="C341" t="s">
        <v>15</v>
      </c>
      <c r="D341" t="s">
        <v>16</v>
      </c>
      <c r="E341" t="s">
        <v>17</v>
      </c>
      <c r="F341" t="s">
        <v>18</v>
      </c>
      <c r="G341" t="s">
        <v>19</v>
      </c>
    </row>
    <row r="342" spans="1:7" hidden="1" x14ac:dyDescent="0.2">
      <c r="A342" t="s">
        <v>53</v>
      </c>
      <c r="B342">
        <v>6</v>
      </c>
      <c r="C342" t="s">
        <v>22</v>
      </c>
      <c r="D342" t="s">
        <v>58</v>
      </c>
      <c r="E342">
        <v>164.9588401</v>
      </c>
      <c r="F342">
        <v>28202</v>
      </c>
      <c r="G342">
        <v>3025</v>
      </c>
    </row>
    <row r="343" spans="1:7" hidden="1" x14ac:dyDescent="0.2">
      <c r="A343" t="s">
        <v>0</v>
      </c>
      <c r="B343" t="s">
        <v>14</v>
      </c>
      <c r="C343" t="s">
        <v>15</v>
      </c>
      <c r="D343" t="s">
        <v>16</v>
      </c>
      <c r="E343" t="s">
        <v>17</v>
      </c>
      <c r="F343" t="s">
        <v>18</v>
      </c>
      <c r="G343" t="s">
        <v>19</v>
      </c>
    </row>
    <row r="344" spans="1:7" hidden="1" x14ac:dyDescent="0.2">
      <c r="A344" t="s">
        <v>53</v>
      </c>
      <c r="B344">
        <v>6</v>
      </c>
      <c r="C344" t="s">
        <v>22</v>
      </c>
      <c r="D344" t="s">
        <v>59</v>
      </c>
      <c r="E344">
        <v>185.07012800000001</v>
      </c>
      <c r="F344">
        <v>24554</v>
      </c>
      <c r="G344">
        <v>2753</v>
      </c>
    </row>
    <row r="345" spans="1:7" hidden="1" x14ac:dyDescent="0.2">
      <c r="A345" t="s">
        <v>0</v>
      </c>
      <c r="B345" t="s">
        <v>14</v>
      </c>
      <c r="C345" t="s">
        <v>15</v>
      </c>
      <c r="D345" t="s">
        <v>16</v>
      </c>
      <c r="E345" t="s">
        <v>17</v>
      </c>
      <c r="F345" t="s">
        <v>18</v>
      </c>
      <c r="G345" t="s">
        <v>19</v>
      </c>
    </row>
    <row r="346" spans="1:7" hidden="1" x14ac:dyDescent="0.2">
      <c r="A346" t="s">
        <v>53</v>
      </c>
      <c r="B346">
        <v>8</v>
      </c>
      <c r="C346" t="s">
        <v>22</v>
      </c>
      <c r="D346" t="s">
        <v>58</v>
      </c>
      <c r="E346">
        <v>335.70228789999999</v>
      </c>
      <c r="F346">
        <v>62252</v>
      </c>
      <c r="G346">
        <v>5377</v>
      </c>
    </row>
    <row r="347" spans="1:7" hidden="1" x14ac:dyDescent="0.2">
      <c r="A347" t="s">
        <v>0</v>
      </c>
      <c r="B347" t="s">
        <v>14</v>
      </c>
      <c r="C347" t="s">
        <v>15</v>
      </c>
      <c r="D347" t="s">
        <v>16</v>
      </c>
      <c r="E347" t="s">
        <v>17</v>
      </c>
      <c r="F347" t="s">
        <v>18</v>
      </c>
      <c r="G347" t="s">
        <v>19</v>
      </c>
    </row>
    <row r="348" spans="1:7" hidden="1" x14ac:dyDescent="0.2">
      <c r="A348" t="s">
        <v>53</v>
      </c>
      <c r="B348">
        <v>8</v>
      </c>
      <c r="C348" t="s">
        <v>22</v>
      </c>
      <c r="D348" t="s">
        <v>59</v>
      </c>
      <c r="E348">
        <v>356.20647289999999</v>
      </c>
      <c r="F348">
        <v>58567</v>
      </c>
      <c r="G348">
        <v>4889</v>
      </c>
    </row>
    <row r="349" spans="1:7" hidden="1" x14ac:dyDescent="0.2">
      <c r="A349" t="s">
        <v>0</v>
      </c>
      <c r="B349" t="s">
        <v>14</v>
      </c>
      <c r="C349" t="s">
        <v>15</v>
      </c>
      <c r="D349" t="s">
        <v>16</v>
      </c>
      <c r="E349" t="s">
        <v>17</v>
      </c>
      <c r="F349" t="s">
        <v>18</v>
      </c>
      <c r="G349" t="s">
        <v>19</v>
      </c>
    </row>
    <row r="350" spans="1:7" hidden="1" x14ac:dyDescent="0.2">
      <c r="A350" t="s">
        <v>53</v>
      </c>
      <c r="B350">
        <v>10</v>
      </c>
      <c r="C350" t="s">
        <v>22</v>
      </c>
      <c r="D350" t="s">
        <v>58</v>
      </c>
      <c r="E350">
        <v>105.872818</v>
      </c>
      <c r="F350">
        <v>60641</v>
      </c>
      <c r="G350">
        <v>1546</v>
      </c>
    </row>
    <row r="351" spans="1:7" hidden="1" x14ac:dyDescent="0.2">
      <c r="A351" t="s">
        <v>0</v>
      </c>
      <c r="B351" t="s">
        <v>14</v>
      </c>
      <c r="C351" t="s">
        <v>15</v>
      </c>
      <c r="D351" t="s">
        <v>16</v>
      </c>
      <c r="E351" t="s">
        <v>17</v>
      </c>
      <c r="F351" t="s">
        <v>18</v>
      </c>
      <c r="G351" t="s">
        <v>19</v>
      </c>
    </row>
    <row r="352" spans="1:7" hidden="1" x14ac:dyDescent="0.2">
      <c r="A352" t="s">
        <v>53</v>
      </c>
      <c r="B352">
        <v>10</v>
      </c>
      <c r="C352" t="s">
        <v>22</v>
      </c>
      <c r="D352" t="s">
        <v>59</v>
      </c>
      <c r="E352">
        <v>86.514250039999993</v>
      </c>
      <c r="F352">
        <v>36106</v>
      </c>
      <c r="G352">
        <v>1100</v>
      </c>
    </row>
    <row r="353" spans="1:7" hidden="1" x14ac:dyDescent="0.2">
      <c r="A353" t="s">
        <v>0</v>
      </c>
      <c r="B353" t="s">
        <v>14</v>
      </c>
      <c r="C353" t="s">
        <v>15</v>
      </c>
      <c r="D353" t="s">
        <v>16</v>
      </c>
      <c r="E353" t="s">
        <v>17</v>
      </c>
      <c r="F353" t="s">
        <v>18</v>
      </c>
      <c r="G353" t="s">
        <v>19</v>
      </c>
    </row>
    <row r="354" spans="1:7" hidden="1" x14ac:dyDescent="0.2">
      <c r="A354" t="s">
        <v>53</v>
      </c>
      <c r="B354">
        <v>12</v>
      </c>
      <c r="C354" t="s">
        <v>22</v>
      </c>
      <c r="D354" t="s">
        <v>58</v>
      </c>
      <c r="E354">
        <v>1.312268019</v>
      </c>
      <c r="F354">
        <v>948</v>
      </c>
      <c r="G354">
        <v>31</v>
      </c>
    </row>
    <row r="355" spans="1:7" hidden="1" x14ac:dyDescent="0.2">
      <c r="A355" t="s">
        <v>0</v>
      </c>
      <c r="B355" t="s">
        <v>14</v>
      </c>
      <c r="C355" t="s">
        <v>15</v>
      </c>
      <c r="D355" t="s">
        <v>16</v>
      </c>
      <c r="E355" t="s">
        <v>17</v>
      </c>
      <c r="F355" t="s">
        <v>18</v>
      </c>
      <c r="G355" t="s">
        <v>19</v>
      </c>
    </row>
    <row r="356" spans="1:7" hidden="1" x14ac:dyDescent="0.2">
      <c r="A356" t="s">
        <v>53</v>
      </c>
      <c r="B356">
        <v>12</v>
      </c>
      <c r="C356" t="s">
        <v>22</v>
      </c>
      <c r="D356" t="s">
        <v>59</v>
      </c>
      <c r="E356">
        <v>19.45261502</v>
      </c>
      <c r="F356">
        <v>248</v>
      </c>
      <c r="G356">
        <v>16</v>
      </c>
    </row>
    <row r="357" spans="1:7" hidden="1" x14ac:dyDescent="0.2">
      <c r="A357" t="s">
        <v>0</v>
      </c>
      <c r="B357" t="s">
        <v>14</v>
      </c>
      <c r="C357" t="s">
        <v>15</v>
      </c>
      <c r="D357" t="s">
        <v>16</v>
      </c>
      <c r="E357" t="s">
        <v>17</v>
      </c>
      <c r="F357" t="s">
        <v>18</v>
      </c>
      <c r="G357" t="s">
        <v>19</v>
      </c>
    </row>
    <row r="358" spans="1:7" hidden="1" x14ac:dyDescent="0.2">
      <c r="A358" t="s">
        <v>53</v>
      </c>
      <c r="B358">
        <v>400</v>
      </c>
      <c r="C358" t="s">
        <v>22</v>
      </c>
      <c r="D358" t="s">
        <v>58</v>
      </c>
      <c r="E358">
        <v>4.2600710389999996</v>
      </c>
      <c r="F358">
        <v>3786</v>
      </c>
      <c r="G358">
        <v>78</v>
      </c>
    </row>
    <row r="359" spans="1:7" hidden="1" x14ac:dyDescent="0.2">
      <c r="A359" t="s">
        <v>0</v>
      </c>
      <c r="B359" t="s">
        <v>14</v>
      </c>
      <c r="C359" t="s">
        <v>15</v>
      </c>
      <c r="D359" t="s">
        <v>16</v>
      </c>
      <c r="E359" t="s">
        <v>17</v>
      </c>
      <c r="F359" t="s">
        <v>18</v>
      </c>
      <c r="G359" t="s">
        <v>19</v>
      </c>
    </row>
    <row r="360" spans="1:7" hidden="1" x14ac:dyDescent="0.2">
      <c r="A360" t="s">
        <v>53</v>
      </c>
      <c r="B360">
        <v>400</v>
      </c>
      <c r="C360" t="s">
        <v>22</v>
      </c>
      <c r="D360" t="s">
        <v>59</v>
      </c>
      <c r="E360">
        <v>22.048160079999999</v>
      </c>
      <c r="F360">
        <v>1974</v>
      </c>
      <c r="G360">
        <v>63</v>
      </c>
    </row>
    <row r="361" spans="1:7" hidden="1" x14ac:dyDescent="0.2">
      <c r="A361" t="s">
        <v>0</v>
      </c>
      <c r="B361" t="s">
        <v>14</v>
      </c>
      <c r="C361" t="s">
        <v>15</v>
      </c>
      <c r="D361" t="s">
        <v>16</v>
      </c>
      <c r="E361" t="s">
        <v>17</v>
      </c>
      <c r="F361" t="s">
        <v>18</v>
      </c>
      <c r="G361" t="s">
        <v>19</v>
      </c>
    </row>
    <row r="362" spans="1:7" hidden="1" x14ac:dyDescent="0.2">
      <c r="A362" t="s">
        <v>54</v>
      </c>
      <c r="B362">
        <v>6</v>
      </c>
      <c r="C362" t="s">
        <v>22</v>
      </c>
      <c r="D362" t="s">
        <v>58</v>
      </c>
      <c r="E362">
        <v>103.49256990000001</v>
      </c>
      <c r="F362">
        <v>20499</v>
      </c>
      <c r="G362">
        <v>2242</v>
      </c>
    </row>
    <row r="363" spans="1:7" hidden="1" x14ac:dyDescent="0.2">
      <c r="A363" t="s">
        <v>0</v>
      </c>
      <c r="B363" t="s">
        <v>14</v>
      </c>
      <c r="C363" t="s">
        <v>15</v>
      </c>
      <c r="D363" t="s">
        <v>16</v>
      </c>
      <c r="E363" t="s">
        <v>17</v>
      </c>
      <c r="F363" t="s">
        <v>18</v>
      </c>
      <c r="G363" t="s">
        <v>19</v>
      </c>
    </row>
    <row r="364" spans="1:7" hidden="1" x14ac:dyDescent="0.2">
      <c r="A364" t="s">
        <v>54</v>
      </c>
      <c r="B364">
        <v>6</v>
      </c>
      <c r="C364" t="s">
        <v>22</v>
      </c>
      <c r="D364" t="s">
        <v>59</v>
      </c>
      <c r="E364">
        <v>107.726676</v>
      </c>
      <c r="F364">
        <v>17484</v>
      </c>
      <c r="G364">
        <v>1788</v>
      </c>
    </row>
    <row r="365" spans="1:7" hidden="1" x14ac:dyDescent="0.2">
      <c r="A365" t="s">
        <v>0</v>
      </c>
      <c r="B365" t="s">
        <v>14</v>
      </c>
      <c r="C365" t="s">
        <v>15</v>
      </c>
      <c r="D365" t="s">
        <v>16</v>
      </c>
      <c r="E365" t="s">
        <v>17</v>
      </c>
      <c r="F365" t="s">
        <v>18</v>
      </c>
      <c r="G365" t="s">
        <v>19</v>
      </c>
    </row>
    <row r="366" spans="1:7" hidden="1" x14ac:dyDescent="0.2">
      <c r="A366" t="s">
        <v>54</v>
      </c>
      <c r="B366">
        <v>8</v>
      </c>
      <c r="C366" t="s">
        <v>22</v>
      </c>
      <c r="D366" t="s">
        <v>58</v>
      </c>
      <c r="E366">
        <v>227.12884399999999</v>
      </c>
      <c r="F366">
        <v>63954</v>
      </c>
      <c r="G366">
        <v>3900</v>
      </c>
    </row>
    <row r="367" spans="1:7" hidden="1" x14ac:dyDescent="0.2">
      <c r="A367" t="s">
        <v>0</v>
      </c>
      <c r="B367" t="s">
        <v>14</v>
      </c>
      <c r="C367" t="s">
        <v>15</v>
      </c>
      <c r="D367" t="s">
        <v>16</v>
      </c>
      <c r="E367" t="s">
        <v>17</v>
      </c>
      <c r="F367" t="s">
        <v>18</v>
      </c>
      <c r="G367" t="s">
        <v>19</v>
      </c>
    </row>
    <row r="368" spans="1:7" hidden="1" x14ac:dyDescent="0.2">
      <c r="A368" t="s">
        <v>54</v>
      </c>
      <c r="B368">
        <v>8</v>
      </c>
      <c r="C368" t="s">
        <v>22</v>
      </c>
      <c r="D368" t="s">
        <v>59</v>
      </c>
      <c r="E368">
        <v>217.6829798</v>
      </c>
      <c r="F368">
        <v>54391</v>
      </c>
      <c r="G368">
        <v>3298</v>
      </c>
    </row>
    <row r="369" spans="1:10" hidden="1" x14ac:dyDescent="0.2">
      <c r="A369" t="s">
        <v>0</v>
      </c>
      <c r="B369" t="s">
        <v>14</v>
      </c>
      <c r="C369" t="s">
        <v>15</v>
      </c>
      <c r="D369" t="s">
        <v>16</v>
      </c>
      <c r="E369" t="s">
        <v>17</v>
      </c>
      <c r="F369" t="s">
        <v>18</v>
      </c>
      <c r="G369" t="s">
        <v>19</v>
      </c>
    </row>
    <row r="370" spans="1:10" hidden="1" x14ac:dyDescent="0.2">
      <c r="A370" t="s">
        <v>54</v>
      </c>
      <c r="B370">
        <v>10</v>
      </c>
      <c r="C370" t="s">
        <v>22</v>
      </c>
      <c r="D370" t="s">
        <v>58</v>
      </c>
      <c r="E370">
        <v>16.708361864089898</v>
      </c>
      <c r="F370">
        <v>8440</v>
      </c>
      <c r="G370">
        <v>448</v>
      </c>
      <c r="J370" s="5"/>
    </row>
    <row r="371" spans="1:10" hidden="1" x14ac:dyDescent="0.2">
      <c r="A371" t="s">
        <v>0</v>
      </c>
      <c r="B371" t="s">
        <v>14</v>
      </c>
      <c r="C371" t="s">
        <v>15</v>
      </c>
      <c r="D371" t="s">
        <v>16</v>
      </c>
      <c r="E371" t="s">
        <v>17</v>
      </c>
      <c r="F371" t="s">
        <v>18</v>
      </c>
      <c r="G371" t="s">
        <v>19</v>
      </c>
    </row>
    <row r="372" spans="1:10" hidden="1" x14ac:dyDescent="0.2">
      <c r="A372" t="s">
        <v>54</v>
      </c>
      <c r="B372">
        <v>10</v>
      </c>
      <c r="C372" t="s">
        <v>22</v>
      </c>
      <c r="D372" t="s">
        <v>59</v>
      </c>
      <c r="E372">
        <v>34.381474018096903</v>
      </c>
      <c r="F372">
        <v>6406</v>
      </c>
      <c r="G372">
        <v>315</v>
      </c>
      <c r="J372" s="5"/>
    </row>
    <row r="373" spans="1:10" hidden="1" x14ac:dyDescent="0.2">
      <c r="A373" t="s">
        <v>0</v>
      </c>
      <c r="B373" t="s">
        <v>14</v>
      </c>
      <c r="C373" t="s">
        <v>15</v>
      </c>
      <c r="D373" t="s">
        <v>16</v>
      </c>
      <c r="E373" t="s">
        <v>17</v>
      </c>
      <c r="F373" t="s">
        <v>18</v>
      </c>
      <c r="G373" t="s">
        <v>19</v>
      </c>
    </row>
    <row r="374" spans="1:10" hidden="1" x14ac:dyDescent="0.2">
      <c r="A374" t="s">
        <v>54</v>
      </c>
      <c r="B374">
        <v>12</v>
      </c>
      <c r="C374" t="s">
        <v>22</v>
      </c>
      <c r="D374" t="s">
        <v>58</v>
      </c>
      <c r="E374">
        <v>0.71785807599999996</v>
      </c>
      <c r="F374">
        <v>238</v>
      </c>
      <c r="G374">
        <v>33</v>
      </c>
    </row>
    <row r="375" spans="1:10" hidden="1" x14ac:dyDescent="0.2">
      <c r="A375" t="s">
        <v>0</v>
      </c>
      <c r="B375" t="s">
        <v>14</v>
      </c>
      <c r="C375" t="s">
        <v>15</v>
      </c>
      <c r="D375" t="s">
        <v>16</v>
      </c>
      <c r="E375" t="s">
        <v>17</v>
      </c>
      <c r="F375" t="s">
        <v>18</v>
      </c>
      <c r="G375" t="s">
        <v>19</v>
      </c>
    </row>
    <row r="376" spans="1:10" hidden="1" x14ac:dyDescent="0.2">
      <c r="A376" t="s">
        <v>54</v>
      </c>
      <c r="B376">
        <v>12</v>
      </c>
      <c r="C376" t="s">
        <v>22</v>
      </c>
      <c r="D376" t="s">
        <v>59</v>
      </c>
      <c r="E376">
        <v>14.428991079999999</v>
      </c>
      <c r="F376">
        <v>212</v>
      </c>
      <c r="G376">
        <v>20</v>
      </c>
    </row>
    <row r="377" spans="1:10" hidden="1" x14ac:dyDescent="0.2">
      <c r="A377" t="s">
        <v>0</v>
      </c>
      <c r="B377" t="s">
        <v>14</v>
      </c>
      <c r="C377" t="s">
        <v>15</v>
      </c>
      <c r="D377" t="s">
        <v>16</v>
      </c>
      <c r="E377" t="s">
        <v>17</v>
      </c>
      <c r="F377" t="s">
        <v>18</v>
      </c>
      <c r="G377" t="s">
        <v>19</v>
      </c>
    </row>
    <row r="378" spans="1:10" hidden="1" x14ac:dyDescent="0.2">
      <c r="A378" t="s">
        <v>54</v>
      </c>
      <c r="B378">
        <v>400</v>
      </c>
      <c r="C378" t="s">
        <v>22</v>
      </c>
      <c r="D378" t="s">
        <v>58</v>
      </c>
      <c r="E378">
        <v>0.770797968</v>
      </c>
      <c r="F378">
        <v>458</v>
      </c>
      <c r="G378">
        <v>33</v>
      </c>
    </row>
    <row r="379" spans="1:10" hidden="1" x14ac:dyDescent="0.2">
      <c r="A379" t="s">
        <v>0</v>
      </c>
      <c r="B379" t="s">
        <v>14</v>
      </c>
      <c r="C379" t="s">
        <v>15</v>
      </c>
      <c r="D379" t="s">
        <v>16</v>
      </c>
      <c r="E379" t="s">
        <v>17</v>
      </c>
      <c r="F379" t="s">
        <v>18</v>
      </c>
      <c r="G379" t="s">
        <v>19</v>
      </c>
    </row>
    <row r="380" spans="1:10" hidden="1" x14ac:dyDescent="0.2">
      <c r="A380" t="s">
        <v>54</v>
      </c>
      <c r="B380">
        <v>400</v>
      </c>
      <c r="C380" t="s">
        <v>22</v>
      </c>
      <c r="D380" t="s">
        <v>59</v>
      </c>
      <c r="E380">
        <v>14.498677020000001</v>
      </c>
      <c r="F380">
        <v>379</v>
      </c>
      <c r="G380">
        <v>22</v>
      </c>
    </row>
    <row r="381" spans="1:10" hidden="1" x14ac:dyDescent="0.2">
      <c r="A381" t="s">
        <v>0</v>
      </c>
      <c r="B381" t="s">
        <v>14</v>
      </c>
      <c r="C381" t="s">
        <v>15</v>
      </c>
      <c r="D381" t="s">
        <v>16</v>
      </c>
      <c r="E381" t="s">
        <v>17</v>
      </c>
      <c r="F381" t="s">
        <v>18</v>
      </c>
      <c r="G381" t="s">
        <v>19</v>
      </c>
    </row>
    <row r="382" spans="1:10" hidden="1" x14ac:dyDescent="0.2">
      <c r="A382" t="s">
        <v>55</v>
      </c>
      <c r="B382">
        <v>6</v>
      </c>
      <c r="C382" t="s">
        <v>22</v>
      </c>
      <c r="D382" t="s">
        <v>58</v>
      </c>
      <c r="E382">
        <v>168.04536199569699</v>
      </c>
      <c r="F382">
        <v>22863</v>
      </c>
      <c r="G382">
        <v>3473</v>
      </c>
    </row>
    <row r="383" spans="1:10" hidden="1" x14ac:dyDescent="0.2">
      <c r="A383" t="s">
        <v>0</v>
      </c>
      <c r="B383" t="s">
        <v>14</v>
      </c>
      <c r="C383" t="s">
        <v>15</v>
      </c>
      <c r="D383" t="s">
        <v>16</v>
      </c>
      <c r="E383" t="s">
        <v>17</v>
      </c>
      <c r="F383" t="s">
        <v>18</v>
      </c>
      <c r="G383" t="s">
        <v>19</v>
      </c>
    </row>
    <row r="384" spans="1:10" hidden="1" x14ac:dyDescent="0.2">
      <c r="A384" t="s">
        <v>55</v>
      </c>
      <c r="B384">
        <v>6</v>
      </c>
      <c r="C384" t="s">
        <v>22</v>
      </c>
      <c r="D384" t="s">
        <v>59</v>
      </c>
      <c r="E384">
        <v>227.11601690000001</v>
      </c>
      <c r="F384">
        <v>21273</v>
      </c>
      <c r="G384">
        <v>3172</v>
      </c>
    </row>
    <row r="385" spans="1:7" hidden="1" x14ac:dyDescent="0.2">
      <c r="A385" t="s">
        <v>0</v>
      </c>
      <c r="B385" t="s">
        <v>14</v>
      </c>
      <c r="C385" t="s">
        <v>15</v>
      </c>
      <c r="D385" t="s">
        <v>16</v>
      </c>
      <c r="E385" t="s">
        <v>17</v>
      </c>
      <c r="F385" t="s">
        <v>18</v>
      </c>
      <c r="G385" t="s">
        <v>19</v>
      </c>
    </row>
    <row r="386" spans="1:7" hidden="1" x14ac:dyDescent="0.2">
      <c r="A386" t="s">
        <v>55</v>
      </c>
      <c r="B386">
        <v>8</v>
      </c>
      <c r="C386" t="s">
        <v>22</v>
      </c>
      <c r="D386" t="s">
        <v>58</v>
      </c>
      <c r="E386">
        <v>380.31108</v>
      </c>
      <c r="F386">
        <v>53366</v>
      </c>
      <c r="G386">
        <v>5307</v>
      </c>
    </row>
    <row r="387" spans="1:7" hidden="1" x14ac:dyDescent="0.2">
      <c r="A387" t="s">
        <v>0</v>
      </c>
      <c r="B387" t="s">
        <v>14</v>
      </c>
      <c r="C387" t="s">
        <v>15</v>
      </c>
      <c r="D387" t="s">
        <v>16</v>
      </c>
      <c r="E387" t="s">
        <v>17</v>
      </c>
      <c r="F387" t="s">
        <v>18</v>
      </c>
      <c r="G387" t="s">
        <v>19</v>
      </c>
    </row>
    <row r="388" spans="1:7" hidden="1" x14ac:dyDescent="0.2">
      <c r="A388" t="s">
        <v>55</v>
      </c>
      <c r="B388">
        <v>8</v>
      </c>
      <c r="C388" t="s">
        <v>22</v>
      </c>
      <c r="D388" t="s">
        <v>59</v>
      </c>
      <c r="E388">
        <v>410.44669010000001</v>
      </c>
      <c r="F388">
        <v>53736</v>
      </c>
      <c r="G388">
        <v>4974</v>
      </c>
    </row>
    <row r="389" spans="1:7" hidden="1" x14ac:dyDescent="0.2">
      <c r="A389" t="s">
        <v>0</v>
      </c>
      <c r="B389" t="s">
        <v>14</v>
      </c>
      <c r="C389" t="s">
        <v>15</v>
      </c>
      <c r="D389" t="s">
        <v>16</v>
      </c>
      <c r="E389" t="s">
        <v>17</v>
      </c>
      <c r="F389" t="s">
        <v>18</v>
      </c>
      <c r="G389" t="s">
        <v>19</v>
      </c>
    </row>
    <row r="390" spans="1:7" hidden="1" x14ac:dyDescent="0.2">
      <c r="A390" t="s">
        <v>55</v>
      </c>
      <c r="B390">
        <v>10</v>
      </c>
      <c r="C390" t="s">
        <v>22</v>
      </c>
      <c r="D390" t="s">
        <v>58</v>
      </c>
      <c r="E390">
        <v>177.5109301</v>
      </c>
      <c r="F390">
        <v>67621</v>
      </c>
      <c r="G390">
        <v>2292</v>
      </c>
    </row>
    <row r="391" spans="1:7" hidden="1" x14ac:dyDescent="0.2">
      <c r="A391" t="s">
        <v>0</v>
      </c>
      <c r="B391" t="s">
        <v>14</v>
      </c>
      <c r="C391" t="s">
        <v>15</v>
      </c>
      <c r="D391" t="s">
        <v>16</v>
      </c>
      <c r="E391" t="s">
        <v>17</v>
      </c>
      <c r="F391" t="s">
        <v>18</v>
      </c>
      <c r="G391" t="s">
        <v>19</v>
      </c>
    </row>
    <row r="392" spans="1:7" hidden="1" x14ac:dyDescent="0.2">
      <c r="A392" t="s">
        <v>55</v>
      </c>
      <c r="B392">
        <v>10</v>
      </c>
      <c r="C392" t="s">
        <v>22</v>
      </c>
      <c r="D392" t="s">
        <v>59</v>
      </c>
      <c r="E392">
        <v>72.652465109999994</v>
      </c>
      <c r="F392">
        <v>26349</v>
      </c>
      <c r="G392">
        <v>1162</v>
      </c>
    </row>
    <row r="393" spans="1:7" hidden="1" x14ac:dyDescent="0.2">
      <c r="A393" t="s">
        <v>0</v>
      </c>
      <c r="B393" t="s">
        <v>14</v>
      </c>
      <c r="C393" t="s">
        <v>15</v>
      </c>
      <c r="D393" t="s">
        <v>16</v>
      </c>
      <c r="E393" t="s">
        <v>17</v>
      </c>
      <c r="F393" t="s">
        <v>18</v>
      </c>
      <c r="G393" t="s">
        <v>19</v>
      </c>
    </row>
    <row r="394" spans="1:7" hidden="1" x14ac:dyDescent="0.2">
      <c r="A394" t="s">
        <v>55</v>
      </c>
      <c r="B394">
        <v>12</v>
      </c>
      <c r="C394" t="s">
        <v>22</v>
      </c>
      <c r="D394" t="s">
        <v>58</v>
      </c>
      <c r="E394">
        <v>1.009387016</v>
      </c>
      <c r="F394">
        <v>557</v>
      </c>
      <c r="G394">
        <v>42</v>
      </c>
    </row>
    <row r="395" spans="1:7" hidden="1" x14ac:dyDescent="0.2">
      <c r="A395" t="s">
        <v>0</v>
      </c>
      <c r="B395" t="s">
        <v>14</v>
      </c>
      <c r="C395" t="s">
        <v>15</v>
      </c>
      <c r="D395" t="s">
        <v>16</v>
      </c>
      <c r="E395" t="s">
        <v>17</v>
      </c>
      <c r="F395" t="s">
        <v>18</v>
      </c>
      <c r="G395" t="s">
        <v>19</v>
      </c>
    </row>
    <row r="396" spans="1:7" hidden="1" x14ac:dyDescent="0.2">
      <c r="A396" t="s">
        <v>55</v>
      </c>
      <c r="B396">
        <v>12</v>
      </c>
      <c r="C396" t="s">
        <v>22</v>
      </c>
      <c r="D396" t="s">
        <v>59</v>
      </c>
      <c r="E396">
        <v>16.653136010000001</v>
      </c>
      <c r="F396">
        <v>351</v>
      </c>
      <c r="G396">
        <v>22</v>
      </c>
    </row>
    <row r="397" spans="1:7" hidden="1" x14ac:dyDescent="0.2">
      <c r="A397" t="s">
        <v>0</v>
      </c>
      <c r="B397" t="s">
        <v>14</v>
      </c>
      <c r="C397" t="s">
        <v>15</v>
      </c>
      <c r="D397" t="s">
        <v>16</v>
      </c>
      <c r="E397" t="s">
        <v>17</v>
      </c>
      <c r="F397" t="s">
        <v>18</v>
      </c>
      <c r="G397" t="s">
        <v>19</v>
      </c>
    </row>
    <row r="398" spans="1:7" hidden="1" x14ac:dyDescent="0.2">
      <c r="A398" t="s">
        <v>55</v>
      </c>
      <c r="B398">
        <v>400</v>
      </c>
      <c r="C398" t="s">
        <v>22</v>
      </c>
      <c r="D398" t="s">
        <v>58</v>
      </c>
      <c r="E398">
        <v>4.080904007</v>
      </c>
      <c r="F398">
        <v>3253</v>
      </c>
      <c r="G398">
        <v>130</v>
      </c>
    </row>
    <row r="399" spans="1:7" hidden="1" x14ac:dyDescent="0.2">
      <c r="A399" t="s">
        <v>0</v>
      </c>
      <c r="B399" t="s">
        <v>14</v>
      </c>
      <c r="C399" t="s">
        <v>15</v>
      </c>
      <c r="D399" t="s">
        <v>16</v>
      </c>
      <c r="E399" t="s">
        <v>17</v>
      </c>
      <c r="F399" t="s">
        <v>18</v>
      </c>
      <c r="G399" t="s">
        <v>19</v>
      </c>
    </row>
    <row r="400" spans="1:7" hidden="1" x14ac:dyDescent="0.2">
      <c r="A400" t="s">
        <v>55</v>
      </c>
      <c r="B400">
        <v>400</v>
      </c>
      <c r="C400" t="s">
        <v>22</v>
      </c>
      <c r="D400" t="s">
        <v>59</v>
      </c>
      <c r="E400">
        <v>20.42695999</v>
      </c>
      <c r="F400">
        <v>2239</v>
      </c>
      <c r="G400">
        <v>113</v>
      </c>
    </row>
  </sheetData>
  <autoFilter ref="J1:J400" xr:uid="{994E3947-EA12-124D-A6B5-6F73E44C7261}">
    <filterColumn colId="0">
      <filters>
        <filter val="10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P26"/>
  <sheetViews>
    <sheetView workbookViewId="0">
      <selection activeCell="E27" sqref="E27"/>
    </sheetView>
  </sheetViews>
  <sheetFormatPr baseColWidth="10" defaultRowHeight="16" x14ac:dyDescent="0.2"/>
  <cols>
    <col min="15" max="15" width="20" bestFit="1" customWidth="1"/>
  </cols>
  <sheetData>
    <row r="1" spans="2:16" x14ac:dyDescent="0.2">
      <c r="D1" t="s">
        <v>2</v>
      </c>
    </row>
    <row r="2" spans="2:16" x14ac:dyDescent="0.2">
      <c r="D2" t="s">
        <v>1</v>
      </c>
      <c r="G2" t="s">
        <v>58</v>
      </c>
      <c r="J2" t="s">
        <v>59</v>
      </c>
      <c r="M2" t="s">
        <v>3</v>
      </c>
    </row>
    <row r="3" spans="2:16" x14ac:dyDescent="0.2">
      <c r="B3" t="s">
        <v>0</v>
      </c>
      <c r="C3" t="s">
        <v>9</v>
      </c>
      <c r="D3" t="s">
        <v>4</v>
      </c>
      <c r="E3" t="s">
        <v>5</v>
      </c>
      <c r="F3" t="s">
        <v>6</v>
      </c>
      <c r="G3" t="s">
        <v>4</v>
      </c>
      <c r="H3" t="s">
        <v>5</v>
      </c>
      <c r="I3" t="s">
        <v>6</v>
      </c>
      <c r="J3" t="s">
        <v>4</v>
      </c>
      <c r="K3" t="s">
        <v>5</v>
      </c>
      <c r="L3" t="s">
        <v>6</v>
      </c>
      <c r="M3" t="s">
        <v>7</v>
      </c>
      <c r="N3" t="s">
        <v>5</v>
      </c>
      <c r="O3" t="s">
        <v>62</v>
      </c>
    </row>
    <row r="4" spans="2:16" x14ac:dyDescent="0.2">
      <c r="B4" t="s">
        <v>11</v>
      </c>
      <c r="C4">
        <v>6</v>
      </c>
      <c r="D4" s="4">
        <f>AVERAGEIFS('200_+'!K:K,'200_+'!$J:$J,Overall!$C4)</f>
        <v>1.5512080192565896</v>
      </c>
      <c r="E4">
        <f>AVERAGEIFS('200_+'!L:L,'200_+'!$J:$J,Overall!$C4)</f>
        <v>1298.5</v>
      </c>
      <c r="F4">
        <f>AVERAGEIFS('200_+'!M:M,'200_+'!$J:$J,Overall!$C4)</f>
        <v>236.3</v>
      </c>
      <c r="G4" s="1">
        <f>AVERAGEIFS('200_+'!N:N,'200_+'!$J:$J,Overall!$C4)</f>
        <v>1.7690006732940655</v>
      </c>
      <c r="H4">
        <f>AVERAGEIFS('200_+'!O:O,'200_+'!$J:$J,Overall!$C4)</f>
        <v>1261.9000000000001</v>
      </c>
      <c r="I4">
        <f>AVERAGEIFS('200_+'!P:P,'200_+'!$J:$J,Overall!$C4)</f>
        <v>209.4</v>
      </c>
      <c r="J4" s="1">
        <f>AVERAGEIFS('200_+'!Q:Q,'200_+'!$J:$J,Overall!$C4)</f>
        <v>7.4003715038299429</v>
      </c>
      <c r="K4">
        <f>AVERAGEIFS('200_+'!R:R,'200_+'!$J:$J,Overall!$C4)</f>
        <v>910.4</v>
      </c>
      <c r="L4">
        <f>AVERAGEIFS('200_+'!S:S,'200_+'!$J:$J,Overall!$C4)</f>
        <v>118</v>
      </c>
      <c r="M4" s="1">
        <f>AVERAGEIFS('200_+'!T:T,'200_+'!$J:$J,Overall!$C4)</f>
        <v>87.744256854057056</v>
      </c>
      <c r="N4">
        <f>AVERAGEIFS('200_+'!U:U,'200_+'!$J:$J,Overall!$C4)</f>
        <v>95.3</v>
      </c>
      <c r="O4">
        <f>10-COUNTIFS('200_+'!T:T,"&lt;600.00",'200_+'!$J:$J,Overall!$C4)</f>
        <v>0</v>
      </c>
      <c r="P4" t="str">
        <f>CONCATENATE(B4," &amp; ",C4, " &amp; ", ROUND(D4,2), " &amp; ", E4, " &amp; ", F4, " &amp; ", ROUND(G4,2), " &amp; ", H4, " &amp; ", I4, " &amp; ",  ROUND(J4,2), " &amp; ", K4, " &amp; ", L4, " &amp; ", ROUND(M4,2), " &amp; ", N4, "\\")</f>
        <v>200+ &amp; 6 &amp; 1.55 &amp; 1298.5 &amp; 236.3 &amp; 1.77 &amp; 1261.9 &amp; 209.4 &amp; 7.4 &amp; 910.4 &amp; 118 &amp; 87.74 &amp; 95.3\\</v>
      </c>
    </row>
    <row r="5" spans="2:16" x14ac:dyDescent="0.2">
      <c r="B5" t="s">
        <v>11</v>
      </c>
      <c r="C5">
        <v>8</v>
      </c>
      <c r="D5" s="4">
        <f>AVERAGEIFS('200_+'!K:K,'200_+'!$J:$J,Overall!$C5)</f>
        <v>1.9531297206878626</v>
      </c>
      <c r="E5">
        <f>AVERAGEIFS('200_+'!L:L,'200_+'!$J:$J,Overall!$C5)</f>
        <v>1967.6</v>
      </c>
      <c r="F5">
        <f>AVERAGEIFS('200_+'!M:M,'200_+'!$J:$J,Overall!$C5)</f>
        <v>260.3</v>
      </c>
      <c r="G5" s="1">
        <f>AVERAGEIFS('200_+'!N:N,'200_+'!$J:$J,Overall!$C5)</f>
        <v>2.2970612764358505</v>
      </c>
      <c r="H5">
        <f>AVERAGEIFS('200_+'!O:O,'200_+'!$J:$J,Overall!$C5)</f>
        <v>1625.8</v>
      </c>
      <c r="I5">
        <f>AVERAGEIFS('200_+'!P:P,'200_+'!$J:$J,Overall!$C5)</f>
        <v>217</v>
      </c>
      <c r="J5" s="1">
        <f>AVERAGEIFS('200_+'!Q:Q,'200_+'!$J:$J,Overall!$C5)</f>
        <v>7.9736440181732053</v>
      </c>
      <c r="K5">
        <f>AVERAGEIFS('200_+'!R:R,'200_+'!$J:$J,Overall!$C5)</f>
        <v>949.1</v>
      </c>
      <c r="L5">
        <f>AVERAGEIFS('200_+'!S:S,'200_+'!$J:$J,Overall!$C5)</f>
        <v>97.3</v>
      </c>
      <c r="M5" s="1">
        <f>AVERAGEIFS('200_+'!T:T,'200_+'!$J:$J,Overall!$C5)</f>
        <v>73.415107655525077</v>
      </c>
      <c r="N5">
        <f>AVERAGEIFS('200_+'!U:U,'200_+'!$J:$J,Overall!$C5)</f>
        <v>79.8</v>
      </c>
      <c r="O5">
        <f>10-COUNTIFS('200_+'!T:T,"&lt;600.00",'200_+'!$J:$J,Overall!$C5)</f>
        <v>0</v>
      </c>
      <c r="P5" t="str">
        <f t="shared" ref="P5:P18" si="0">CONCATENATE(B5," &amp; ",C5, " &amp; ", ROUND(D5,2), " &amp; ", E5, " &amp; ", F5, " &amp; ", ROUND(G5,2), " &amp; ", H5, " &amp; ", I5, " &amp; ",  ROUND(J5,2), " &amp; ", K5, " &amp; ", L5, " &amp; ", ROUND(M5,2), " &amp; ", N5, "\\")</f>
        <v>200+ &amp; 8 &amp; 1.95 &amp; 1967.6 &amp; 260.3 &amp; 2.3 &amp; 1625.8 &amp; 217 &amp; 7.97 &amp; 949.1 &amp; 97.3 &amp; 73.42 &amp; 79.8\\</v>
      </c>
    </row>
    <row r="6" spans="2:16" x14ac:dyDescent="0.2">
      <c r="B6" t="s">
        <v>11</v>
      </c>
      <c r="C6">
        <v>10</v>
      </c>
      <c r="D6" s="1">
        <f>AVERAGEIFS('200_+'!K:K,'200_+'!$J:$J,Overall!$C6)</f>
        <v>7.7383261442184308</v>
      </c>
      <c r="E6">
        <f>AVERAGEIFS('200_+'!L:L,'200_+'!$J:$J,Overall!$C6)</f>
        <v>7606.5</v>
      </c>
      <c r="F6">
        <f>AVERAGEIFS('200_+'!M:M,'200_+'!$J:$J,Overall!$C6)</f>
        <v>509.7</v>
      </c>
      <c r="G6" s="4">
        <f>AVERAGEIFS('200_+'!N:N,'200_+'!$J:$J,Overall!$C6)</f>
        <v>4.3262861967086668</v>
      </c>
      <c r="H6">
        <f>AVERAGEIFS('200_+'!O:O,'200_+'!$J:$J,Overall!$C6)</f>
        <v>3686.3</v>
      </c>
      <c r="I6">
        <f>AVERAGEIFS('200_+'!P:P,'200_+'!$J:$J,Overall!$C6)</f>
        <v>298.89999999999998</v>
      </c>
      <c r="J6" s="1">
        <f>AVERAGEIFS('200_+'!Q:Q,'200_+'!$J:$J,Overall!$C6)</f>
        <v>10.353150963783243</v>
      </c>
      <c r="K6">
        <f>AVERAGEIFS('200_+'!R:R,'200_+'!$J:$J,Overall!$C6)</f>
        <v>2065.6999999999998</v>
      </c>
      <c r="L6">
        <f>AVERAGEIFS('200_+'!S:S,'200_+'!$J:$J,Overall!$C6)</f>
        <v>175.5</v>
      </c>
      <c r="M6" s="1">
        <f>AVERAGEIFS('200_+'!T:T,'200_+'!$J:$J,Overall!$C6)</f>
        <v>161.88469009399401</v>
      </c>
      <c r="N6">
        <f>AVERAGEIFS('200_+'!U:U,'200_+'!$J:$J,Overall!$C6)</f>
        <v>184</v>
      </c>
      <c r="O6">
        <f>10-COUNTIFS('200_+'!T:T,"&lt;600.00",'200_+'!$J:$J,Overall!$C6)</f>
        <v>0</v>
      </c>
      <c r="P6" t="str">
        <f t="shared" si="0"/>
        <v>200+ &amp; 10 &amp; 7.74 &amp; 7606.5 &amp; 509.7 &amp; 4.33 &amp; 3686.3 &amp; 298.9 &amp; 10.35 &amp; 2065.7 &amp; 175.5 &amp; 161.88 &amp; 184\\</v>
      </c>
    </row>
    <row r="7" spans="2:16" x14ac:dyDescent="0.2">
      <c r="B7" t="s">
        <v>11</v>
      </c>
      <c r="C7">
        <v>12</v>
      </c>
      <c r="D7" s="1">
        <f>AVERAGEIFS('200_+'!K:K,'200_+'!$J:$J,Overall!$C7)</f>
        <v>25.574063444137501</v>
      </c>
      <c r="E7">
        <f>AVERAGEIFS('200_+'!L:L,'200_+'!$J:$J,Overall!$C7)</f>
        <v>28828.1</v>
      </c>
      <c r="F7">
        <f>AVERAGEIFS('200_+'!M:M,'200_+'!$J:$J,Overall!$C7)</f>
        <v>203.8</v>
      </c>
      <c r="G7" s="4">
        <f>AVERAGEIFS('200_+'!N:N,'200_+'!$J:$J,Overall!$C7)</f>
        <v>2.0615039825439343</v>
      </c>
      <c r="H7">
        <f>AVERAGEIFS('200_+'!O:O,'200_+'!$J:$J,Overall!$C7)</f>
        <v>1764.1</v>
      </c>
      <c r="I7">
        <f>AVERAGEIFS('200_+'!P:P,'200_+'!$J:$J,Overall!$C7)</f>
        <v>71.599999999999994</v>
      </c>
      <c r="J7" s="1">
        <f>AVERAGEIFS('200_+'!Q:Q,'200_+'!$J:$J,Overall!$C7)</f>
        <v>9.0408548831939672</v>
      </c>
      <c r="K7">
        <f>AVERAGEIFS('200_+'!R:R,'200_+'!$J:$J,Overall!$C7)</f>
        <v>999.9</v>
      </c>
      <c r="L7">
        <f>AVERAGEIFS('200_+'!S:S,'200_+'!$J:$J,Overall!$C7)</f>
        <v>33.9</v>
      </c>
      <c r="M7" s="1">
        <f>AVERAGEIFS('200_+'!T:T,'200_+'!$J:$J,Overall!$C7)</f>
        <v>353.07281262874574</v>
      </c>
      <c r="N7">
        <f>AVERAGEIFS('200_+'!U:U,'200_+'!$J:$J,Overall!$C7)</f>
        <v>398.1</v>
      </c>
      <c r="O7">
        <f>10-COUNTIFS('200_+'!T:T,"&lt;600.00",'200_+'!$J:$J,Overall!$C7)</f>
        <v>4</v>
      </c>
      <c r="P7" t="str">
        <f t="shared" si="0"/>
        <v>200+ &amp; 12 &amp; 25.57 &amp; 28828.1 &amp; 203.8 &amp; 2.06 &amp; 1764.1 &amp; 71.6 &amp; 9.04 &amp; 999.9 &amp; 33.9 &amp; 353.07 &amp; 398.1\\</v>
      </c>
    </row>
    <row r="8" spans="2:16" x14ac:dyDescent="0.2">
      <c r="B8" t="s">
        <v>11</v>
      </c>
      <c r="C8">
        <v>200</v>
      </c>
      <c r="D8" s="1">
        <f>AVERAGEIFS('200_+'!K:K,'200_+'!$J:$J,Overall!$C8)</f>
        <v>18.709735894203142</v>
      </c>
      <c r="E8">
        <f>AVERAGEIFS('200_+'!L:L,'200_+'!$J:$J,Overall!$C8)</f>
        <v>23191.9</v>
      </c>
      <c r="F8">
        <f>AVERAGEIFS('200_+'!M:M,'200_+'!$J:$J,Overall!$C8)</f>
        <v>208.4</v>
      </c>
      <c r="G8" s="4">
        <f>AVERAGEIFS('200_+'!N:N,'200_+'!$J:$J,Overall!$C8)</f>
        <v>2.7898601293563718</v>
      </c>
      <c r="H8">
        <f>AVERAGEIFS('200_+'!O:O,'200_+'!$J:$J,Overall!$C8)</f>
        <v>2288.5</v>
      </c>
      <c r="I8">
        <f>AVERAGEIFS('200_+'!P:P,'200_+'!$J:$J,Overall!$C8)</f>
        <v>92</v>
      </c>
      <c r="J8" s="1">
        <f>AVERAGEIFS('200_+'!Q:Q,'200_+'!$J:$J,Overall!$C8)</f>
        <v>9.9980680227279493</v>
      </c>
      <c r="K8">
        <f>AVERAGEIFS('200_+'!R:R,'200_+'!$J:$J,Overall!$C8)</f>
        <v>1393.7</v>
      </c>
      <c r="L8">
        <f>AVERAGEIFS('200_+'!S:S,'200_+'!$J:$J,Overall!$C8)</f>
        <v>56.1</v>
      </c>
      <c r="M8" s="1">
        <f>AVERAGEIFS('200_+'!T:T,'200_+'!$J:$J,Overall!$C8)</f>
        <v>599.27516446113555</v>
      </c>
      <c r="N8">
        <f>AVERAGEIFS('200_+'!U:U,'200_+'!$J:$J,Overall!$C8)</f>
        <v>735.1</v>
      </c>
      <c r="O8">
        <f>10-COUNTIFS('200_+'!T:T,"&lt;600.00",'200_+'!$J:$J,Overall!$C8)</f>
        <v>9</v>
      </c>
      <c r="P8" t="str">
        <f t="shared" si="0"/>
        <v>200+ &amp; 200 &amp; 18.71 &amp; 23191.9 &amp; 208.4 &amp; 2.79 &amp; 2288.5 &amp; 92 &amp; 10 &amp; 1393.7 &amp; 56.1 &amp; 599.28 &amp; 735.1\\</v>
      </c>
    </row>
    <row r="9" spans="2:16" x14ac:dyDescent="0.2">
      <c r="B9" t="s">
        <v>44</v>
      </c>
      <c r="C9">
        <v>6</v>
      </c>
      <c r="D9" s="4">
        <f>AVERAGEIFS('300_+'!K:K,'300_+'!$J:$J,Overall!$C9)</f>
        <v>16.825432705879201</v>
      </c>
      <c r="E9">
        <f>AVERAGEIFS('300_+'!L:L,'300_+'!$J:$J,Overall!$C9)</f>
        <v>9141.7000000000007</v>
      </c>
      <c r="F9">
        <f>AVERAGEIFS('300_+'!M:M,'300_+'!$J:$J,Overall!$C9)</f>
        <v>974.2</v>
      </c>
      <c r="G9" s="6">
        <f>AVERAGEIFS('300_+'!N:N,'300_+'!$J:$J,Overall!$C9)</f>
        <v>23.589425373077379</v>
      </c>
      <c r="H9" s="1">
        <f>AVERAGEIFS('300_+'!O:O,'300_+'!$J:$J,Overall!$C9)</f>
        <v>8025.2</v>
      </c>
      <c r="I9" s="1">
        <f>AVERAGEIFS('300_+'!P:P,'300_+'!$J:$J,Overall!$C9)</f>
        <v>864.1</v>
      </c>
      <c r="J9" s="1">
        <f>AVERAGEIFS('300_+'!Q:Q,'300_+'!$J:$J,Overall!$C9)</f>
        <v>29.922604489326424</v>
      </c>
      <c r="K9" s="1">
        <f>AVERAGEIFS('300_+'!R:R,'300_+'!$J:$J,Overall!$C9)</f>
        <v>5738.1</v>
      </c>
      <c r="L9" s="1">
        <f>AVERAGEIFS('300_+'!S:S,'300_+'!$J:$J,Overall!$C9)</f>
        <v>565.9</v>
      </c>
      <c r="M9" s="1">
        <f>AVERAGEIFS('300_+'!T:T,'300_+'!$J:$J,Overall!$C9)</f>
        <v>434.45888800620986</v>
      </c>
      <c r="N9">
        <f>AVERAGEIFS('300_+'!U:U,'300_+'!$J:$J,Overall!$C9)</f>
        <v>157.6</v>
      </c>
      <c r="O9">
        <f>10-COUNTIFS('300_+'!T:T,"&lt;600.00",'300_+'!$J:$J,Overall!$C9)</f>
        <v>3</v>
      </c>
      <c r="P9" t="str">
        <f t="shared" si="0"/>
        <v>300+ &amp; 6 &amp; 16.83 &amp; 9141.7 &amp; 974.2 &amp; 23.59 &amp; 8025.2 &amp; 864.1 &amp; 29.92 &amp; 5738.1 &amp; 565.9 &amp; 434.46 &amp; 157.6\\</v>
      </c>
    </row>
    <row r="10" spans="2:16" x14ac:dyDescent="0.2">
      <c r="B10" t="s">
        <v>44</v>
      </c>
      <c r="C10">
        <v>8</v>
      </c>
      <c r="D10" s="4">
        <f>AVERAGEIFS('300_+'!K:K,'300_+'!$J:$J,Overall!$C10)</f>
        <v>44.680623769760054</v>
      </c>
      <c r="E10">
        <f>AVERAGEIFS('300_+'!L:L,'300_+'!$J:$J,Overall!$C10)</f>
        <v>21050.1</v>
      </c>
      <c r="F10">
        <f>AVERAGEIFS('300_+'!M:M,'300_+'!$J:$J,Overall!$C10)</f>
        <v>1576.8</v>
      </c>
      <c r="G10" s="6">
        <f>AVERAGEIFS('300_+'!N:N,'300_+'!$J:$J,Overall!$C10)</f>
        <v>64.463528108596634</v>
      </c>
      <c r="H10" s="1">
        <f>AVERAGEIFS('300_+'!O:O,'300_+'!$J:$J,Overall!$C10)</f>
        <v>19682.099999999999</v>
      </c>
      <c r="I10" s="1">
        <f>AVERAGEIFS('300_+'!P:P,'300_+'!$J:$J,Overall!$C10)</f>
        <v>1457.8</v>
      </c>
      <c r="J10" s="1">
        <f>AVERAGEIFS('300_+'!Q:Q,'300_+'!$J:$J,Overall!$C10)</f>
        <v>60.997978067397923</v>
      </c>
      <c r="K10" s="1">
        <f>AVERAGEIFS('300_+'!R:R,'300_+'!$J:$J,Overall!$C10)</f>
        <v>14236.1</v>
      </c>
      <c r="L10" s="1">
        <f>AVERAGEIFS('300_+'!S:S,'300_+'!$J:$J,Overall!$C10)</f>
        <v>1035.8</v>
      </c>
      <c r="M10" s="1">
        <f>AVERAGEIFS('300_+'!T:T,'300_+'!$J:$J,Overall!$C10)</f>
        <v>489.53370783328972</v>
      </c>
      <c r="N10">
        <f>AVERAGEIFS('300_+'!U:U,'300_+'!$J:$J,Overall!$C10)</f>
        <v>174</v>
      </c>
      <c r="O10">
        <f>10-COUNTIFS('300_+'!T:T,"&lt;600.00",'300_+'!$J:$J,Overall!$C10)</f>
        <v>5</v>
      </c>
      <c r="P10" t="str">
        <f t="shared" si="0"/>
        <v>300+ &amp; 8 &amp; 44.68 &amp; 21050.1 &amp; 1576.8 &amp; 64.46 &amp; 19682.1 &amp; 1457.8 &amp; 61 &amp; 14236.1 &amp; 1035.8 &amp; 489.53 &amp; 174\\</v>
      </c>
    </row>
    <row r="11" spans="2:16" x14ac:dyDescent="0.2">
      <c r="B11" t="s">
        <v>44</v>
      </c>
      <c r="C11">
        <v>10</v>
      </c>
      <c r="D11" s="6">
        <f>AVERAGEIFS('300_+'!K:K,'300_+'!$J:$J,Overall!$C11)</f>
        <v>88.568504643439994</v>
      </c>
      <c r="E11">
        <f>AVERAGEIFS('300_+'!L:L,'300_+'!$J:$J,Overall!$C11)</f>
        <v>44163.8</v>
      </c>
      <c r="F11">
        <f>AVERAGEIFS('300_+'!M:M,'300_+'!$J:$J,Overall!$C11)</f>
        <v>1901</v>
      </c>
      <c r="G11" s="4">
        <f>AVERAGEIFS('300_+'!N:N,'300_+'!$J:$J,Overall!$C11)</f>
        <v>78.049914455413671</v>
      </c>
      <c r="H11" s="1">
        <f>AVERAGEIFS('300_+'!O:O,'300_+'!$J:$J,Overall!$C11)</f>
        <v>33253.1</v>
      </c>
      <c r="I11" s="1">
        <f>AVERAGEIFS('300_+'!P:P,'300_+'!$J:$J,Overall!$C11)</f>
        <v>1438.4</v>
      </c>
      <c r="J11" s="1">
        <f>AVERAGEIFS('300_+'!Q:Q,'300_+'!$J:$J,Overall!$C11)</f>
        <v>110.20065355300889</v>
      </c>
      <c r="K11" s="1">
        <f>AVERAGEIFS('300_+'!R:R,'300_+'!$J:$J,Overall!$C11)</f>
        <v>24487.3</v>
      </c>
      <c r="L11" s="1">
        <f>AVERAGEIFS('300_+'!S:S,'300_+'!$J:$J,Overall!$C11)</f>
        <v>971.5</v>
      </c>
      <c r="M11" s="1">
        <f>AVERAGEIFS('300_+'!T:T,'300_+'!$J:$J,Overall!$C11)</f>
        <v>471.97743220329238</v>
      </c>
      <c r="N11">
        <f>AVERAGEIFS('300_+'!U:U,'300_+'!$J:$J,Overall!$C11)</f>
        <v>171.9</v>
      </c>
      <c r="O11">
        <f>10-COUNTIFS('300_+'!T:T,"&lt;600.00",'300_+'!$J:$J,Overall!$C11)</f>
        <v>5</v>
      </c>
      <c r="P11" t="str">
        <f t="shared" si="0"/>
        <v>300+ &amp; 10 &amp; 88.57 &amp; 44163.8 &amp; 1901 &amp; 78.05 &amp; 33253.1 &amp; 1438.4 &amp; 110.2 &amp; 24487.3 &amp; 971.5 &amp; 471.98 &amp; 171.9\\</v>
      </c>
    </row>
    <row r="12" spans="2:16" x14ac:dyDescent="0.2">
      <c r="B12" t="s">
        <v>44</v>
      </c>
      <c r="C12">
        <v>12</v>
      </c>
      <c r="D12" s="1">
        <f>AVERAGEIFS('300_+'!K:K,'300_+'!$J:$J,Overall!$C12)</f>
        <v>16.155498981475795</v>
      </c>
      <c r="E12">
        <f>AVERAGEIFS('300_+'!L:L,'300_+'!$J:$J,Overall!$C12)</f>
        <v>13881.6</v>
      </c>
      <c r="F12">
        <f>AVERAGEIFS('300_+'!M:M,'300_+'!$J:$J,Overall!$C12)</f>
        <v>262.7</v>
      </c>
      <c r="G12" s="4">
        <f>AVERAGEIFS('300_+'!N:N,'300_+'!$J:$J,Overall!$C12)</f>
        <v>4.6518933773040745</v>
      </c>
      <c r="H12" s="1">
        <f>AVERAGEIFS('300_+'!O:O,'300_+'!$J:$J,Overall!$C12)</f>
        <v>3180.9</v>
      </c>
      <c r="I12" s="1">
        <f>AVERAGEIFS('300_+'!P:P,'300_+'!$J:$J,Overall!$C12)</f>
        <v>127.4</v>
      </c>
      <c r="J12" s="1">
        <f>AVERAGEIFS('300_+'!Q:Q,'300_+'!$J:$J,Overall!$C12)</f>
        <v>15.942428445815988</v>
      </c>
      <c r="K12" s="1">
        <f>AVERAGEIFS('300_+'!R:R,'300_+'!$J:$J,Overall!$C12)</f>
        <v>1474.6</v>
      </c>
      <c r="L12" s="1">
        <f>AVERAGEIFS('300_+'!S:S,'300_+'!$J:$J,Overall!$C12)</f>
        <v>66.7</v>
      </c>
      <c r="M12" s="1">
        <f>AVERAGEIFS('300_+'!T:T,'300_+'!$J:$J,Overall!$C12)</f>
        <v>401.51947860717729</v>
      </c>
      <c r="N12">
        <f>AVERAGEIFS('300_+'!U:U,'300_+'!$J:$J,Overall!$C12)</f>
        <v>158.19999999999999</v>
      </c>
      <c r="O12">
        <f>10-COUNTIFS('300_+'!T:T,"&lt;600.00",'300_+'!$J:$J,Overall!$C12)</f>
        <v>4</v>
      </c>
      <c r="P12" t="str">
        <f t="shared" si="0"/>
        <v>300+ &amp; 12 &amp; 16.16 &amp; 13881.6 &amp; 262.7 &amp; 4.65 &amp; 3180.9 &amp; 127.4 &amp; 15.94 &amp; 1474.6 &amp; 66.7 &amp; 401.52 &amp; 158.2\\</v>
      </c>
    </row>
    <row r="13" spans="2:16" x14ac:dyDescent="0.2">
      <c r="B13" t="s">
        <v>44</v>
      </c>
      <c r="C13">
        <v>300</v>
      </c>
      <c r="D13" s="1">
        <f>AVERAGEIFS('300_+'!K:K,'300_+'!$J:$J,Overall!$C13)</f>
        <v>21.359293889999361</v>
      </c>
      <c r="E13">
        <f>AVERAGEIFS('300_+'!L:L,'300_+'!$J:$J,Overall!$C13)</f>
        <v>18140.5</v>
      </c>
      <c r="F13">
        <f>AVERAGEIFS('300_+'!M:M,'300_+'!$J:$J,Overall!$C13)</f>
        <v>262.10000000000002</v>
      </c>
      <c r="G13" s="4">
        <f>AVERAGEIFS('300_+'!N:N,'300_+'!$J:$J,Overall!$C13)</f>
        <v>9.2415179967880139</v>
      </c>
      <c r="H13" s="1">
        <f>AVERAGEIFS('300_+'!O:O,'300_+'!$J:$J,Overall!$C13)</f>
        <v>6287.9</v>
      </c>
      <c r="I13" s="1">
        <f>AVERAGEIFS('300_+'!P:P,'300_+'!$J:$J,Overall!$C13)</f>
        <v>191.9</v>
      </c>
      <c r="J13" s="1">
        <f>AVERAGEIFS('300_+'!Q:Q,'300_+'!$J:$J,Overall!$C13)</f>
        <v>24.330422449111886</v>
      </c>
      <c r="K13" s="1">
        <f>AVERAGEIFS('300_+'!R:R,'300_+'!$J:$J,Overall!$C13)</f>
        <v>5970.7</v>
      </c>
      <c r="L13" s="1">
        <f>AVERAGEIFS('300_+'!S:S,'300_+'!$J:$J,Overall!$C13)</f>
        <v>168.4</v>
      </c>
      <c r="M13" s="1">
        <f>AVERAGEIFS('300_+'!T:T,'300_+'!$J:$J,Overall!$C13)</f>
        <v>600.01049773693035</v>
      </c>
      <c r="N13">
        <f>AVERAGEIFS('300_+'!U:U,'300_+'!$J:$J,Overall!$C13)</f>
        <v>219.2</v>
      </c>
      <c r="O13">
        <f>10-COUNTIFS('300_+'!T:T,"&lt;600.00",'300_+'!$J:$J,Overall!$C13)</f>
        <v>10</v>
      </c>
      <c r="P13" t="str">
        <f t="shared" si="0"/>
        <v>300+ &amp; 300 &amp; 21.36 &amp; 18140.5 &amp; 262.1 &amp; 9.24 &amp; 6287.9 &amp; 191.9 &amp; 24.33 &amp; 5970.7 &amp; 168.4 &amp; 600.01 &amp; 219.2\\</v>
      </c>
    </row>
    <row r="14" spans="2:16" x14ac:dyDescent="0.2">
      <c r="B14" t="s">
        <v>56</v>
      </c>
      <c r="C14">
        <v>6</v>
      </c>
      <c r="D14" s="4">
        <f>AVERAGEIFS('400_+'!K:K,'400_+'!$J:$J,Overall!$C14)</f>
        <v>54.472162318229586</v>
      </c>
      <c r="E14">
        <f>AVERAGEIFS('400_+'!L:L,'400_+'!$J:$J,Overall!$C14)</f>
        <v>13329.1</v>
      </c>
      <c r="F14" s="1">
        <f>AVERAGEIFS('400_+'!M:M,'400_+'!$J:$J,Overall!$C14)</f>
        <v>1716.6</v>
      </c>
      <c r="G14" s="1">
        <f>AVERAGEIFS('400_+'!N:N,'400_+'!$J:$J,Overall!$C14)</f>
        <v>66.517437524399867</v>
      </c>
      <c r="H14" s="1">
        <f>AVERAGEIFS('400_+'!O:O,'400_+'!$J:$J,Overall!$C14)</f>
        <v>12158.6</v>
      </c>
      <c r="I14" s="1">
        <f>AVERAGEIFS('400_+'!P:P,'400_+'!$J:$J,Overall!$C14)</f>
        <v>1618.7</v>
      </c>
      <c r="J14" s="1">
        <f>AVERAGEIFS('400_+'!Q:Q,'400_+'!$J:$J,Overall!$C14)</f>
        <v>83.580597387620813</v>
      </c>
      <c r="K14" s="1">
        <f>AVERAGEIFS('400_+'!R:R,'400_+'!$J:$J,Overall!$C14)</f>
        <v>11007.5</v>
      </c>
      <c r="L14" s="1">
        <f>AVERAGEIFS('400_+'!S:S,'400_+'!$J:$J,Overall!$C14)</f>
        <v>1396.2</v>
      </c>
      <c r="M14" s="1">
        <f>AVERAGEIFS('400_+'!T:T,'400_+'!$J:$J,Overall!$C14)</f>
        <v>531.72986426353407</v>
      </c>
      <c r="N14">
        <f>AVERAGEIFS('400_+'!U:U,'400_+'!$J:$J,Overall!$C14)</f>
        <v>84</v>
      </c>
      <c r="O14">
        <f>10-COUNTIFS('400_+'!T:T,"&lt;600.00",'400_+'!$J:$J,Overall!$C14)</f>
        <v>8</v>
      </c>
      <c r="P14" t="str">
        <f t="shared" si="0"/>
        <v>400+ &amp; 6 &amp; 54.47 &amp; 13329.1 &amp; 1716.6 &amp; 66.52 &amp; 12158.6 &amp; 1618.7 &amp; 83.58 &amp; 11007.5 &amp; 1396.2 &amp; 531.73 &amp; 84\\</v>
      </c>
    </row>
    <row r="15" spans="2:16" x14ac:dyDescent="0.2">
      <c r="B15" t="s">
        <v>56</v>
      </c>
      <c r="C15">
        <v>8</v>
      </c>
      <c r="D15" s="6">
        <f>AVERAGEIFS('400_+'!K:K,'400_+'!$J:$J,Overall!$C15)</f>
        <v>173.76542966365793</v>
      </c>
      <c r="E15">
        <f>AVERAGEIFS('400_+'!L:L,'400_+'!$J:$J,Overall!$C15)</f>
        <v>35385.9</v>
      </c>
      <c r="F15" s="1">
        <f>AVERAGEIFS('400_+'!M:M,'400_+'!$J:$J,Overall!$C15)</f>
        <v>2828</v>
      </c>
      <c r="G15" s="4">
        <f>AVERAGEIFS('400_+'!N:N,'400_+'!$J:$J,Overall!$C15)</f>
        <v>160.85122978945378</v>
      </c>
      <c r="H15" s="1">
        <f>AVERAGEIFS('400_+'!O:O,'400_+'!$J:$J,Overall!$C15)</f>
        <v>32928.1</v>
      </c>
      <c r="I15" s="1">
        <f>AVERAGEIFS('400_+'!P:P,'400_+'!$J:$J,Overall!$C15)</f>
        <v>2709.1</v>
      </c>
      <c r="J15" s="6">
        <f>AVERAGEIFS('400_+'!Q:Q,'400_+'!$J:$J,Overall!$C15)</f>
        <v>163.3353328016139</v>
      </c>
      <c r="K15" s="1">
        <f>AVERAGEIFS('400_+'!R:R,'400_+'!$J:$J,Overall!$C15)</f>
        <v>28023.1</v>
      </c>
      <c r="L15" s="1">
        <f>AVERAGEIFS('400_+'!S:S,'400_+'!$J:$J,Overall!$C15)</f>
        <v>2363.9</v>
      </c>
      <c r="M15" s="1">
        <f>AVERAGEIFS('400_+'!T:T,'400_+'!$J:$J,Overall!$C15)</f>
        <v>535.94741373062095</v>
      </c>
      <c r="N15">
        <f>AVERAGEIFS('400_+'!U:U,'400_+'!$J:$J,Overall!$C15)</f>
        <v>80.8</v>
      </c>
      <c r="O15">
        <f>10-COUNTIFS('400_+'!T:T,"&lt;600.00",'400_+'!$J:$J,Overall!$C15)</f>
        <v>8</v>
      </c>
      <c r="P15" t="str">
        <f t="shared" si="0"/>
        <v>400+ &amp; 8 &amp; 173.77 &amp; 35385.9 &amp; 2828 &amp; 160.85 &amp; 32928.1 &amp; 2709.1 &amp; 163.34 &amp; 28023.1 &amp; 2363.9 &amp; 535.95 &amp; 80.8\\</v>
      </c>
    </row>
    <row r="16" spans="2:16" x14ac:dyDescent="0.2">
      <c r="B16" t="s">
        <v>56</v>
      </c>
      <c r="C16">
        <v>10</v>
      </c>
      <c r="D16" s="6">
        <f>AVERAGEIFS('400_+'!K:K,'400_+'!$J:$J,Overall!$C16)</f>
        <v>157.99822871685012</v>
      </c>
      <c r="E16">
        <f>AVERAGEIFS('400_+'!L:L,'400_+'!$J:$J,Overall!$C16)</f>
        <v>55495.199999999997</v>
      </c>
      <c r="F16" s="1">
        <f>AVERAGEIFS('400_+'!M:M,'400_+'!$J:$J,Overall!$C16)</f>
        <v>1669.2</v>
      </c>
      <c r="G16" s="1">
        <f>AVERAGEIFS('400_+'!N:N,'400_+'!$J:$J,Overall!$C16)</f>
        <v>104.4674937972577</v>
      </c>
      <c r="H16" s="1">
        <f>AVERAGEIFS('400_+'!O:O,'400_+'!$J:$J,Overall!$C16)</f>
        <v>32314.5</v>
      </c>
      <c r="I16" s="1">
        <f>AVERAGEIFS('400_+'!P:P,'400_+'!$J:$J,Overall!$C16)</f>
        <v>1369.7</v>
      </c>
      <c r="J16" s="4">
        <f>AVERAGEIFS('400_+'!Q:Q,'400_+'!$J:$J,Overall!$C16)</f>
        <v>81.47948112530969</v>
      </c>
      <c r="K16" s="1">
        <f>AVERAGEIFS('400_+'!R:R,'400_+'!$J:$J,Overall!$C16)</f>
        <v>22132.6</v>
      </c>
      <c r="L16" s="1">
        <f>AVERAGEIFS('400_+'!S:S,'400_+'!$J:$J,Overall!$C16)</f>
        <v>824.9</v>
      </c>
      <c r="M16" s="1">
        <f>AVERAGEIFS('400_+'!T:T,'400_+'!$J:$J,Overall!$C16)</f>
        <v>517.94131300449305</v>
      </c>
      <c r="N16">
        <f>AVERAGEIFS('400_+'!U:U,'400_+'!$J:$J,Overall!$C16)</f>
        <v>74.8</v>
      </c>
      <c r="O16">
        <f>10-COUNTIFS('400_+'!T:T,"&lt;600.00",'400_+'!$J:$J,Overall!$C16)</f>
        <v>8</v>
      </c>
      <c r="P16" t="str">
        <f t="shared" si="0"/>
        <v>400+ &amp; 10 &amp; 158 &amp; 55495.2 &amp; 1669.2 &amp; 104.47 &amp; 32314.5 &amp; 1369.7 &amp; 81.48 &amp; 22132.6 &amp; 824.9 &amp; 517.94 &amp; 74.8\\</v>
      </c>
    </row>
    <row r="17" spans="2:16" x14ac:dyDescent="0.2">
      <c r="B17" t="s">
        <v>56</v>
      </c>
      <c r="C17">
        <v>12</v>
      </c>
      <c r="D17" s="1">
        <f>AVERAGEIFS('400_+'!K:K,'400_+'!$J:$J,Overall!$C17)</f>
        <v>3.9721586942672635</v>
      </c>
      <c r="E17">
        <f>AVERAGEIFS('400_+'!L:L,'400_+'!$J:$J,Overall!$C17)</f>
        <v>4323.7</v>
      </c>
      <c r="F17" s="1">
        <f>AVERAGEIFS('400_+'!M:M,'400_+'!$J:$J,Overall!$C17)</f>
        <v>116.6</v>
      </c>
      <c r="G17" s="4">
        <f>AVERAGEIFS('400_+'!N:N,'400_+'!$J:$J,Overall!$C17)</f>
        <v>1.9045068502000002</v>
      </c>
      <c r="H17" s="1">
        <f>AVERAGEIFS('400_+'!O:O,'400_+'!$J:$J,Overall!$C17)</f>
        <v>1214.5</v>
      </c>
      <c r="I17" s="1">
        <f>AVERAGEIFS('400_+'!P:P,'400_+'!$J:$J,Overall!$C17)</f>
        <v>48.6</v>
      </c>
      <c r="J17" s="1">
        <f>AVERAGEIFS('400_+'!Q:Q,'400_+'!$J:$J,Overall!$C17)</f>
        <v>15.673674700800001</v>
      </c>
      <c r="K17" s="1">
        <f>AVERAGEIFS('400_+'!R:R,'400_+'!$J:$J,Overall!$C17)</f>
        <v>627.4</v>
      </c>
      <c r="L17" s="1">
        <f>AVERAGEIFS('400_+'!S:S,'400_+'!$J:$J,Overall!$C17)</f>
        <v>29.8</v>
      </c>
      <c r="M17" s="1">
        <f>AVERAGEIFS('400_+'!T:T,'400_+'!$J:$J,Overall!$C17)</f>
        <v>478.01174643039656</v>
      </c>
      <c r="N17">
        <f>AVERAGEIFS('400_+'!U:U,'400_+'!$J:$J,Overall!$C17)</f>
        <v>75.3</v>
      </c>
      <c r="O17">
        <f>10-COUNTIFS('400_+'!T:T,"&lt;600.00",'400_+'!$J:$J,Overall!$C17)</f>
        <v>4</v>
      </c>
      <c r="P17" t="str">
        <f t="shared" si="0"/>
        <v>400+ &amp; 12 &amp; 3.97 &amp; 4323.7 &amp; 116.6 &amp; 1.9 &amp; 1214.5 &amp; 48.6 &amp; 15.67 &amp; 627.4 &amp; 29.8 &amp; 478.01 &amp; 75.3\\</v>
      </c>
    </row>
    <row r="18" spans="2:16" x14ac:dyDescent="0.2">
      <c r="B18" t="s">
        <v>56</v>
      </c>
      <c r="C18">
        <v>400</v>
      </c>
      <c r="D18" s="1">
        <f>AVERAGEIFS('400_+'!K:K,'400_+'!$J:$J,Overall!$C18)</f>
        <v>8.6787322998046861</v>
      </c>
      <c r="E18">
        <f>AVERAGEIFS('400_+'!L:L,'400_+'!$J:$J,Overall!$C18)</f>
        <v>7542.1</v>
      </c>
      <c r="F18" s="1">
        <f>AVERAGEIFS('400_+'!M:M,'400_+'!$J:$J,Overall!$C18)</f>
        <v>120.5</v>
      </c>
      <c r="G18" s="4">
        <f>AVERAGEIFS('400_+'!N:N,'400_+'!$J:$J,Overall!$C18)</f>
        <v>5.1910742276000006</v>
      </c>
      <c r="H18" s="1">
        <f>AVERAGEIFS('400_+'!O:O,'400_+'!$J:$J,Overall!$C18)</f>
        <v>3539.2</v>
      </c>
      <c r="I18" s="1">
        <f>AVERAGEIFS('400_+'!P:P,'400_+'!$J:$J,Overall!$C18)</f>
        <v>88.8</v>
      </c>
      <c r="J18" s="1">
        <f>AVERAGEIFS('400_+'!Q:Q,'400_+'!$J:$J,Overall!$C18)</f>
        <v>21.311857939199999</v>
      </c>
      <c r="K18" s="1">
        <f>AVERAGEIFS('400_+'!R:R,'400_+'!$J:$J,Overall!$C18)</f>
        <v>3209.5</v>
      </c>
      <c r="L18" s="1">
        <f>AVERAGEIFS('400_+'!S:S,'400_+'!$J:$J,Overall!$C18)</f>
        <v>79.400000000000006</v>
      </c>
      <c r="M18" s="1">
        <f>AVERAGEIFS('400_+'!T:T,'400_+'!$J:$J,Overall!$C18)</f>
        <v>600.02103030681565</v>
      </c>
      <c r="N18">
        <f>AVERAGEIFS('400_+'!U:U,'400_+'!$J:$J,Overall!$C18)</f>
        <v>74.2</v>
      </c>
      <c r="O18">
        <f>10-COUNTIFS('400_+'!T:T,"&lt;600.00",'400_+'!$J:$J,Overall!$C18)</f>
        <v>10</v>
      </c>
      <c r="P18" t="str">
        <f t="shared" si="0"/>
        <v>400+ &amp; 400 &amp; 8.68 &amp; 7542.1 &amp; 120.5 &amp; 5.19 &amp; 3539.2 &amp; 88.8 &amp; 21.31 &amp; 3209.5 &amp; 79.4 &amp; 600.02 &amp; 74.2\\</v>
      </c>
    </row>
    <row r="23" spans="2:16" x14ac:dyDescent="0.2">
      <c r="D23" s="1"/>
    </row>
    <row r="24" spans="2:16" x14ac:dyDescent="0.2">
      <c r="E24">
        <v>42.8</v>
      </c>
      <c r="F24">
        <v>35.479999999999997</v>
      </c>
    </row>
    <row r="25" spans="2:16" x14ac:dyDescent="0.2">
      <c r="E25">
        <f>F24-E24</f>
        <v>-7.32</v>
      </c>
    </row>
    <row r="26" spans="2:16" x14ac:dyDescent="0.2">
      <c r="E26">
        <f>E25/E24</f>
        <v>-0.17102803738317759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70B0-7AC0-0443-BA51-3B68CF30B9AC}">
  <dimension ref="A1:AA174"/>
  <sheetViews>
    <sheetView topLeftCell="C29" zoomScale="140" zoomScaleNormal="140" workbookViewId="0">
      <selection activeCell="I55" sqref="I55"/>
    </sheetView>
  </sheetViews>
  <sheetFormatPr baseColWidth="10" defaultRowHeight="16" x14ac:dyDescent="0.2"/>
  <cols>
    <col min="1" max="1" width="13.6640625" bestFit="1" customWidth="1"/>
    <col min="6" max="6" width="10.1640625" bestFit="1" customWidth="1"/>
    <col min="7" max="7" width="5.1640625" bestFit="1" customWidth="1"/>
    <col min="24" max="24" width="11.1640625" bestFit="1" customWidth="1"/>
    <col min="25" max="25" width="12.83203125" bestFit="1" customWidth="1"/>
    <col min="27" max="27" width="43.5" bestFit="1" customWidth="1"/>
  </cols>
  <sheetData>
    <row r="1" spans="1:27" x14ac:dyDescent="0.2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10</v>
      </c>
      <c r="I1" t="s">
        <v>24</v>
      </c>
      <c r="K1" t="s">
        <v>34</v>
      </c>
      <c r="L1" t="s">
        <v>45</v>
      </c>
    </row>
    <row r="2" spans="1:27" x14ac:dyDescent="0.2">
      <c r="A2" t="s">
        <v>20</v>
      </c>
      <c r="B2">
        <v>10</v>
      </c>
      <c r="C2" t="s">
        <v>21</v>
      </c>
      <c r="D2" t="s">
        <v>1</v>
      </c>
      <c r="E2">
        <v>0.73729515099999998</v>
      </c>
      <c r="F2">
        <v>130</v>
      </c>
      <c r="G2">
        <v>30</v>
      </c>
      <c r="L2" t="s">
        <v>1</v>
      </c>
      <c r="O2" t="s">
        <v>60</v>
      </c>
      <c r="R2" t="s">
        <v>61</v>
      </c>
      <c r="X2" t="s">
        <v>12</v>
      </c>
      <c r="Y2" t="s">
        <v>8</v>
      </c>
      <c r="AA2" t="s">
        <v>13</v>
      </c>
    </row>
    <row r="3" spans="1:27" x14ac:dyDescent="0.2">
      <c r="A3" t="s">
        <v>0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I3" t="s">
        <v>0</v>
      </c>
      <c r="J3" t="s">
        <v>63</v>
      </c>
      <c r="K3" t="s">
        <v>9</v>
      </c>
      <c r="L3" t="s">
        <v>4</v>
      </c>
      <c r="M3" t="s">
        <v>5</v>
      </c>
      <c r="N3" t="s">
        <v>6</v>
      </c>
      <c r="O3" t="s">
        <v>4</v>
      </c>
      <c r="P3" t="s">
        <v>5</v>
      </c>
      <c r="Q3" t="s">
        <v>6</v>
      </c>
      <c r="R3" t="s">
        <v>4</v>
      </c>
      <c r="S3" t="s">
        <v>5</v>
      </c>
      <c r="T3" t="s">
        <v>6</v>
      </c>
    </row>
    <row r="4" spans="1:27" x14ac:dyDescent="0.2">
      <c r="A4" t="s">
        <v>20</v>
      </c>
      <c r="B4">
        <v>10</v>
      </c>
      <c r="C4" t="s">
        <v>21</v>
      </c>
      <c r="D4" t="s">
        <v>58</v>
      </c>
      <c r="E4">
        <v>3.2263993999999997E-2</v>
      </c>
      <c r="F4">
        <v>0</v>
      </c>
      <c r="G4">
        <v>4</v>
      </c>
      <c r="I4" t="str">
        <f t="shared" ref="I4:I5" si="0">CONCATENATE($I$1,"1")</f>
        <v>pard200_1</v>
      </c>
      <c r="J4">
        <v>200</v>
      </c>
      <c r="K4">
        <v>10</v>
      </c>
      <c r="L4" s="1">
        <f t="shared" ref="L4:L35" si="1">SUMIFS(E:E,D:D,"OA",B:B,K4,A:A,I4)</f>
        <v>0.73729515099999998</v>
      </c>
      <c r="M4">
        <f t="shared" ref="M4:M35" si="2">SUMIFS(F:F,A:A,I4,B:B,K4,D:D,"OA")</f>
        <v>130</v>
      </c>
      <c r="N4">
        <f t="shared" ref="N4:N35" si="3">SUMIFS(G:G,D:D,"OA",A:A,I4,B:B,K4)</f>
        <v>30</v>
      </c>
      <c r="O4" s="1">
        <f t="shared" ref="O4:O35" si="4">SUMIFS(E:E,D:D,"OA Kelley",B:B,K4,A:A,I4)</f>
        <v>3.2263993999999997E-2</v>
      </c>
      <c r="P4">
        <f t="shared" ref="P4:P35" si="5">SUMIFS(F:F,A:A,I4,B:B,K4,D:D,"OA Kelley")</f>
        <v>0</v>
      </c>
      <c r="Q4">
        <f t="shared" ref="Q4:Q35" si="6">SUMIFS(G:G,D:D,"OA Kelley",A:A,I4,B:B,K4)</f>
        <v>4</v>
      </c>
      <c r="R4" s="1">
        <f t="shared" ref="R4:R35" si="7">SUMIFS(E:E,D:D,"OA Kelley 50",B:B,K4,A:A,I4)</f>
        <v>3.4958124E-2</v>
      </c>
      <c r="S4">
        <f t="shared" ref="S4:S35" si="8">SUMIFS(F:F,A:A,I4,B:B,K4,D:D,"OA Kelley 50")</f>
        <v>0</v>
      </c>
      <c r="T4">
        <f t="shared" ref="T4:T35" si="9">SUMIFS(G:G,D:D,"OA Kelley 50",A:A,I4,B:B,K4)</f>
        <v>4</v>
      </c>
      <c r="X4">
        <f t="shared" ref="X4:X35" si="10">COUNTIFS(D:D,"OA",B:B,K4,A:A,I4)</f>
        <v>1</v>
      </c>
      <c r="Y4">
        <f t="shared" ref="Y4:Y35" si="11">COUNTIFS(D:D,"CPLEX MISOCP",B:B,K4,A:A,I4)</f>
        <v>0</v>
      </c>
      <c r="AA4" t="str">
        <f t="shared" ref="AA4:AA20" si="12">CONCATENATE(I4," &amp; ",K4, " &amp; ", ROUND(L4,2), " &amp; ", M4, " &amp; ", N4, " &amp; ",  ROUND(O4,2), " &amp; ", P4, " &amp; ", Q4, " &amp; ", ROUND(R4,2), " &amp; ", S4, " &amp; ", T4,  "\\")</f>
        <v>pard200_1 &amp; 10 &amp; 0.74 &amp; 130 &amp; 30 &amp; 0.03 &amp; 0 &amp; 4 &amp; 0.03 &amp; 0 &amp; 4\\</v>
      </c>
    </row>
    <row r="5" spans="1:27" x14ac:dyDescent="0.2">
      <c r="A5" t="s">
        <v>0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I5" t="str">
        <f t="shared" si="0"/>
        <v>pard200_1</v>
      </c>
      <c r="J5">
        <v>200</v>
      </c>
      <c r="K5">
        <v>200</v>
      </c>
      <c r="L5" s="1">
        <f t="shared" si="1"/>
        <v>600.00226999999995</v>
      </c>
      <c r="M5">
        <f t="shared" si="2"/>
        <v>887423</v>
      </c>
      <c r="N5">
        <f t="shared" si="3"/>
        <v>1386</v>
      </c>
      <c r="O5" s="1">
        <f t="shared" si="4"/>
        <v>600.00739999999996</v>
      </c>
      <c r="P5">
        <f t="shared" si="5"/>
        <v>539900</v>
      </c>
      <c r="Q5">
        <f t="shared" si="6"/>
        <v>1070</v>
      </c>
      <c r="R5" s="1">
        <f t="shared" si="7"/>
        <v>600.00273489999995</v>
      </c>
      <c r="S5">
        <f t="shared" si="8"/>
        <v>369471</v>
      </c>
      <c r="T5">
        <f t="shared" si="9"/>
        <v>675</v>
      </c>
      <c r="X5">
        <f t="shared" si="10"/>
        <v>1</v>
      </c>
      <c r="Y5">
        <f t="shared" si="11"/>
        <v>0</v>
      </c>
      <c r="AA5" t="str">
        <f>CONCATENATE(I5," &amp; ","nc", " &amp; ", ROUND(L5,2), " &amp; ", M5, " &amp; ", N5, " &amp; ",  ROUND(O5,2), " &amp; ", P5, " &amp; ", Q5, " &amp; ", ROUND(R5,2), " &amp; ", S5, " &amp; ", T5,  "\\\midrule")</f>
        <v>pard200_1 &amp; nc &amp; 600 &amp; 887423 &amp; 1386 &amp; 600.01 &amp; 539900 &amp; 1070 &amp; 600 &amp; 369471 &amp; 675\\\midrule</v>
      </c>
    </row>
    <row r="6" spans="1:27" x14ac:dyDescent="0.2">
      <c r="A6" t="s">
        <v>20</v>
      </c>
      <c r="B6">
        <v>10</v>
      </c>
      <c r="C6" t="s">
        <v>21</v>
      </c>
      <c r="D6" t="s">
        <v>59</v>
      </c>
      <c r="E6">
        <v>3.4958124E-2</v>
      </c>
      <c r="F6">
        <v>0</v>
      </c>
      <c r="G6">
        <v>4</v>
      </c>
      <c r="I6" t="str">
        <f t="shared" ref="I6:I7" si="13">CONCATENATE($I$1,"2")</f>
        <v>pard200_2</v>
      </c>
      <c r="J6">
        <v>200</v>
      </c>
      <c r="K6">
        <v>10</v>
      </c>
      <c r="L6" s="1">
        <f t="shared" si="1"/>
        <v>234.2988091</v>
      </c>
      <c r="M6">
        <f t="shared" si="2"/>
        <v>239505</v>
      </c>
      <c r="N6">
        <f t="shared" si="3"/>
        <v>875</v>
      </c>
      <c r="O6" s="1">
        <f t="shared" si="4"/>
        <v>57.140270950000001</v>
      </c>
      <c r="P6">
        <f t="shared" si="5"/>
        <v>45227</v>
      </c>
      <c r="Q6">
        <f t="shared" si="6"/>
        <v>193</v>
      </c>
      <c r="R6" s="1">
        <f t="shared" si="7"/>
        <v>78.879525900000004</v>
      </c>
      <c r="S6">
        <f t="shared" si="8"/>
        <v>38996</v>
      </c>
      <c r="T6">
        <f t="shared" si="9"/>
        <v>196</v>
      </c>
      <c r="X6">
        <f t="shared" si="10"/>
        <v>1</v>
      </c>
      <c r="Y6">
        <f t="shared" si="11"/>
        <v>0</v>
      </c>
      <c r="AA6" t="str">
        <f t="shared" si="12"/>
        <v>pard200_2 &amp; 10 &amp; 234.3 &amp; 239505 &amp; 875 &amp; 57.14 &amp; 45227 &amp; 193 &amp; 78.88 &amp; 38996 &amp; 196\\</v>
      </c>
    </row>
    <row r="7" spans="1:27" x14ac:dyDescent="0.2">
      <c r="A7" t="s">
        <v>0</v>
      </c>
      <c r="B7" t="s">
        <v>14</v>
      </c>
      <c r="C7" t="s">
        <v>15</v>
      </c>
      <c r="D7" t="s">
        <v>16</v>
      </c>
      <c r="E7" t="s">
        <v>17</v>
      </c>
      <c r="F7" t="s">
        <v>18</v>
      </c>
      <c r="G7" t="s">
        <v>19</v>
      </c>
      <c r="I7" t="str">
        <f t="shared" si="13"/>
        <v>pard200_2</v>
      </c>
      <c r="J7">
        <v>200</v>
      </c>
      <c r="K7">
        <v>200</v>
      </c>
      <c r="L7" s="1">
        <f t="shared" si="1"/>
        <v>600.00220990000003</v>
      </c>
      <c r="M7">
        <f t="shared" si="2"/>
        <v>995860</v>
      </c>
      <c r="N7">
        <f t="shared" si="3"/>
        <v>823</v>
      </c>
      <c r="O7" s="1">
        <f t="shared" si="4"/>
        <v>600.02483580000001</v>
      </c>
      <c r="P7">
        <f t="shared" si="5"/>
        <v>157100</v>
      </c>
      <c r="Q7">
        <f t="shared" si="6"/>
        <v>135</v>
      </c>
      <c r="R7" s="1">
        <f t="shared" si="7"/>
        <v>600.02081420000002</v>
      </c>
      <c r="S7">
        <f t="shared" si="8"/>
        <v>226100</v>
      </c>
      <c r="T7">
        <f t="shared" si="9"/>
        <v>66</v>
      </c>
      <c r="X7">
        <f t="shared" si="10"/>
        <v>1</v>
      </c>
      <c r="Y7">
        <f t="shared" si="11"/>
        <v>0</v>
      </c>
      <c r="AA7" t="str">
        <f>CONCATENATE(I7," &amp; ","nc", " &amp; ", ROUND(L7,2), " &amp; ", M7, " &amp; ", N7, " &amp; ",  ROUND(O7,2), " &amp; ", P7, " &amp; ", Q7, " &amp; ", ROUND(R7,2), " &amp; ", S7, " &amp; ", T7,  "\\\midrule")</f>
        <v>pard200_2 &amp; nc &amp; 600 &amp; 995860 &amp; 823 &amp; 600.02 &amp; 157100 &amp; 135 &amp; 600.02 &amp; 226100 &amp; 66\\\midrule</v>
      </c>
    </row>
    <row r="8" spans="1:27" x14ac:dyDescent="0.2">
      <c r="A8" t="s">
        <v>25</v>
      </c>
      <c r="B8">
        <v>10</v>
      </c>
      <c r="C8" t="s">
        <v>21</v>
      </c>
      <c r="D8" t="s">
        <v>1</v>
      </c>
      <c r="E8">
        <v>234.2988091</v>
      </c>
      <c r="F8">
        <v>239505</v>
      </c>
      <c r="G8">
        <v>875</v>
      </c>
      <c r="I8" t="str">
        <f t="shared" ref="I8:I9" si="14">CONCATENATE($I$1,"3")</f>
        <v>pard200_3</v>
      </c>
      <c r="J8">
        <v>200</v>
      </c>
      <c r="K8">
        <v>10</v>
      </c>
      <c r="L8" s="1">
        <f t="shared" si="1"/>
        <v>245.12154699999999</v>
      </c>
      <c r="M8">
        <f t="shared" si="2"/>
        <v>207244</v>
      </c>
      <c r="N8">
        <f t="shared" si="3"/>
        <v>1195</v>
      </c>
      <c r="O8" s="1">
        <f t="shared" si="4"/>
        <v>71.953339819999997</v>
      </c>
      <c r="P8">
        <f t="shared" si="5"/>
        <v>55053</v>
      </c>
      <c r="Q8">
        <f t="shared" si="6"/>
        <v>365</v>
      </c>
      <c r="R8" s="1">
        <f t="shared" si="7"/>
        <v>76.641571999999996</v>
      </c>
      <c r="S8">
        <f t="shared" si="8"/>
        <v>30911</v>
      </c>
      <c r="T8">
        <f t="shared" si="9"/>
        <v>249</v>
      </c>
      <c r="X8">
        <f t="shared" si="10"/>
        <v>1</v>
      </c>
      <c r="Y8">
        <f t="shared" si="11"/>
        <v>0</v>
      </c>
      <c r="AA8" t="str">
        <f t="shared" si="12"/>
        <v>pard200_3 &amp; 10 &amp; 245.12 &amp; 207244 &amp; 1195 &amp; 71.95 &amp; 55053 &amp; 365 &amp; 76.64 &amp; 30911 &amp; 249\\</v>
      </c>
    </row>
    <row r="9" spans="1:27" x14ac:dyDescent="0.2">
      <c r="A9" t="s">
        <v>0</v>
      </c>
      <c r="B9" t="s">
        <v>14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I9" t="str">
        <f t="shared" si="14"/>
        <v>pard200_3</v>
      </c>
      <c r="J9">
        <v>200</v>
      </c>
      <c r="K9">
        <v>200</v>
      </c>
      <c r="L9" s="1">
        <f t="shared" si="1"/>
        <v>600.00236010000003</v>
      </c>
      <c r="M9">
        <f t="shared" si="2"/>
        <v>903540</v>
      </c>
      <c r="N9">
        <f t="shared" si="3"/>
        <v>888</v>
      </c>
      <c r="O9" s="1">
        <f t="shared" si="4"/>
        <v>600.00363519999996</v>
      </c>
      <c r="P9">
        <f t="shared" si="5"/>
        <v>357179</v>
      </c>
      <c r="Q9">
        <f t="shared" si="6"/>
        <v>246</v>
      </c>
      <c r="R9" s="1">
        <f t="shared" si="7"/>
        <v>600.01687100000004</v>
      </c>
      <c r="S9">
        <f t="shared" si="8"/>
        <v>268400</v>
      </c>
      <c r="T9">
        <f t="shared" si="9"/>
        <v>259</v>
      </c>
      <c r="X9">
        <f t="shared" si="10"/>
        <v>1</v>
      </c>
      <c r="Y9">
        <f t="shared" si="11"/>
        <v>0</v>
      </c>
      <c r="AA9" t="str">
        <f>CONCATENATE(I9," &amp; ","nc", " &amp; ", ROUND(L9,2), " &amp; ", M9, " &amp; ", N9, " &amp; ",  ROUND(O9,2), " &amp; ", P9, " &amp; ", Q9, " &amp; ", ROUND(R9,2), " &amp; ", S9, " &amp; ", T9,  "\\\midrule")</f>
        <v>pard200_3 &amp; nc &amp; 600 &amp; 903540 &amp; 888 &amp; 600 &amp; 357179 &amp; 246 &amp; 600.02 &amp; 268400 &amp; 259\\\midrule</v>
      </c>
    </row>
    <row r="10" spans="1:27" x14ac:dyDescent="0.2">
      <c r="A10" t="s">
        <v>25</v>
      </c>
      <c r="B10">
        <v>10</v>
      </c>
      <c r="C10" t="s">
        <v>21</v>
      </c>
      <c r="D10" t="s">
        <v>58</v>
      </c>
      <c r="E10">
        <v>57.140270950000001</v>
      </c>
      <c r="F10">
        <v>45227</v>
      </c>
      <c r="G10">
        <v>193</v>
      </c>
      <c r="I10" t="str">
        <f t="shared" ref="I10:I11" si="15">CONCATENATE($I$1,"4")</f>
        <v>pard200_4</v>
      </c>
      <c r="J10">
        <v>200</v>
      </c>
      <c r="K10">
        <v>10</v>
      </c>
      <c r="L10" s="1">
        <f t="shared" si="1"/>
        <v>600.00629089999995</v>
      </c>
      <c r="M10">
        <f t="shared" si="2"/>
        <v>442530</v>
      </c>
      <c r="N10">
        <f t="shared" si="3"/>
        <v>1967</v>
      </c>
      <c r="O10" s="8">
        <f t="shared" si="4"/>
        <v>344.66461205482398</v>
      </c>
      <c r="P10">
        <f t="shared" si="5"/>
        <v>223707</v>
      </c>
      <c r="Q10">
        <f t="shared" si="6"/>
        <v>1053</v>
      </c>
      <c r="R10" s="1">
        <f t="shared" si="7"/>
        <v>228.8815491</v>
      </c>
      <c r="S10">
        <f t="shared" si="8"/>
        <v>135501</v>
      </c>
      <c r="T10">
        <f t="shared" si="9"/>
        <v>760</v>
      </c>
      <c r="X10">
        <f t="shared" si="10"/>
        <v>1</v>
      </c>
      <c r="Y10">
        <f t="shared" si="11"/>
        <v>0</v>
      </c>
      <c r="AA10" t="str">
        <f t="shared" si="12"/>
        <v>pard200_4 &amp; 10 &amp; 600.01 &amp; 442530 &amp; 1967 &amp; 344.66 &amp; 223707 &amp; 1053 &amp; 228.88 &amp; 135501 &amp; 760\\</v>
      </c>
    </row>
    <row r="11" spans="1:27" x14ac:dyDescent="0.2">
      <c r="A11" t="s">
        <v>0</v>
      </c>
      <c r="B11" t="s">
        <v>14</v>
      </c>
      <c r="C11" t="s">
        <v>15</v>
      </c>
      <c r="D11" t="s">
        <v>16</v>
      </c>
      <c r="E11" t="s">
        <v>17</v>
      </c>
      <c r="F11" t="s">
        <v>18</v>
      </c>
      <c r="G11" t="s">
        <v>19</v>
      </c>
      <c r="I11" t="str">
        <f t="shared" si="15"/>
        <v>pard200_4</v>
      </c>
      <c r="J11">
        <v>200</v>
      </c>
      <c r="K11">
        <v>200</v>
      </c>
      <c r="L11" s="1">
        <f t="shared" si="1"/>
        <v>535.10317799999996</v>
      </c>
      <c r="M11">
        <f t="shared" si="2"/>
        <v>913511</v>
      </c>
      <c r="N11">
        <f t="shared" si="3"/>
        <v>1092</v>
      </c>
      <c r="O11" s="1">
        <f t="shared" si="4"/>
        <v>600.016392</v>
      </c>
      <c r="P11">
        <f t="shared" si="5"/>
        <v>297600</v>
      </c>
      <c r="Q11">
        <f t="shared" si="6"/>
        <v>94</v>
      </c>
      <c r="R11" s="1">
        <f t="shared" si="7"/>
        <v>529.82838609999999</v>
      </c>
      <c r="S11">
        <f t="shared" si="8"/>
        <v>212554</v>
      </c>
      <c r="T11">
        <f t="shared" si="9"/>
        <v>94</v>
      </c>
      <c r="X11">
        <f t="shared" si="10"/>
        <v>1</v>
      </c>
      <c r="Y11">
        <f t="shared" si="11"/>
        <v>0</v>
      </c>
      <c r="AA11" t="str">
        <f>CONCATENATE(I11," &amp; ","nc", " &amp; ", ROUND(L11,2), " &amp; ", M11, " &amp; ", N11, " &amp; ",  ROUND(O11,2), " &amp; ", P11, " &amp; ", Q11, " &amp; ", ROUND(R11,2), " &amp; ", S11, " &amp; ", T11,  "\\\midrule")</f>
        <v>pard200_4 &amp; nc &amp; 535.1 &amp; 913511 &amp; 1092 &amp; 600.02 &amp; 297600 &amp; 94 &amp; 529.83 &amp; 212554 &amp; 94\\\midrule</v>
      </c>
    </row>
    <row r="12" spans="1:27" x14ac:dyDescent="0.2">
      <c r="A12" t="s">
        <v>25</v>
      </c>
      <c r="B12">
        <v>10</v>
      </c>
      <c r="C12" t="s">
        <v>21</v>
      </c>
      <c r="D12" t="s">
        <v>59</v>
      </c>
      <c r="E12">
        <v>78.879525900000004</v>
      </c>
      <c r="F12">
        <v>38996</v>
      </c>
      <c r="G12">
        <v>196</v>
      </c>
      <c r="I12" t="str">
        <f t="shared" ref="I12:I13" si="16">CONCATENATE($I$1,"5")</f>
        <v>pard200_5</v>
      </c>
      <c r="J12">
        <v>200</v>
      </c>
      <c r="K12">
        <v>10</v>
      </c>
      <c r="L12" s="1">
        <f t="shared" si="1"/>
        <v>600.00615600000003</v>
      </c>
      <c r="M12">
        <f t="shared" si="2"/>
        <v>439940</v>
      </c>
      <c r="N12">
        <f t="shared" si="3"/>
        <v>4965</v>
      </c>
      <c r="O12" s="1">
        <f t="shared" si="4"/>
        <v>48.867465019999997</v>
      </c>
      <c r="P12">
        <f t="shared" si="5"/>
        <v>70198</v>
      </c>
      <c r="Q12">
        <f t="shared" si="6"/>
        <v>206</v>
      </c>
      <c r="R12" s="1">
        <f t="shared" si="7"/>
        <v>69.71156311</v>
      </c>
      <c r="S12">
        <f t="shared" si="8"/>
        <v>52301</v>
      </c>
      <c r="T12">
        <f t="shared" si="9"/>
        <v>204</v>
      </c>
      <c r="X12">
        <f t="shared" si="10"/>
        <v>1</v>
      </c>
      <c r="Y12">
        <f t="shared" si="11"/>
        <v>0</v>
      </c>
      <c r="AA12" t="str">
        <f t="shared" si="12"/>
        <v>pard200_5 &amp; 10 &amp; 600.01 &amp; 439940 &amp; 4965 &amp; 48.87 &amp; 70198 &amp; 206 &amp; 69.71 &amp; 52301 &amp; 204\\</v>
      </c>
    </row>
    <row r="13" spans="1:27" x14ac:dyDescent="0.2">
      <c r="A13" t="s">
        <v>0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I13" t="str">
        <f t="shared" si="16"/>
        <v>pard200_5</v>
      </c>
      <c r="J13">
        <v>200</v>
      </c>
      <c r="K13">
        <v>200</v>
      </c>
      <c r="L13" s="1">
        <f t="shared" si="1"/>
        <v>600.00937099999999</v>
      </c>
      <c r="M13">
        <f t="shared" si="2"/>
        <v>1340000</v>
      </c>
      <c r="N13">
        <f t="shared" si="3"/>
        <v>1314</v>
      </c>
      <c r="O13" s="1">
        <f t="shared" si="4"/>
        <v>600.01191400000005</v>
      </c>
      <c r="P13">
        <f t="shared" si="5"/>
        <v>531400</v>
      </c>
      <c r="Q13">
        <f t="shared" si="6"/>
        <v>1408</v>
      </c>
      <c r="R13" s="1">
        <f t="shared" si="7"/>
        <v>600.00945119999994</v>
      </c>
      <c r="S13">
        <f t="shared" si="8"/>
        <v>573200</v>
      </c>
      <c r="T13">
        <f t="shared" si="9"/>
        <v>1358</v>
      </c>
      <c r="X13">
        <f t="shared" si="10"/>
        <v>1</v>
      </c>
      <c r="Y13">
        <f t="shared" si="11"/>
        <v>0</v>
      </c>
      <c r="AA13" t="str">
        <f>CONCATENATE(I13," &amp; ","nc", " &amp; ", ROUND(L13,2), " &amp; ", M13, " &amp; ", N13, " &amp; ",  ROUND(O13,2), " &amp; ", P13, " &amp; ", Q13, " &amp; ", ROUND(R13,2), " &amp; ", S13, " &amp; ", T13,  "\\\midrule")</f>
        <v>pard200_5 &amp; nc &amp; 600.01 &amp; 1340000 &amp; 1314 &amp; 600.01 &amp; 531400 &amp; 1408 &amp; 600.01 &amp; 573200 &amp; 1358\\\midrule</v>
      </c>
    </row>
    <row r="14" spans="1:27" x14ac:dyDescent="0.2">
      <c r="A14" t="s">
        <v>26</v>
      </c>
      <c r="B14">
        <v>10</v>
      </c>
      <c r="C14" t="s">
        <v>21</v>
      </c>
      <c r="D14" t="s">
        <v>1</v>
      </c>
      <c r="E14">
        <v>245.12154699999999</v>
      </c>
      <c r="F14">
        <v>207244</v>
      </c>
      <c r="G14">
        <v>1195</v>
      </c>
      <c r="I14" t="str">
        <f t="shared" ref="I14:I15" si="17">CONCATENATE($I$1,"6")</f>
        <v>pard200_6</v>
      </c>
      <c r="J14">
        <v>200</v>
      </c>
      <c r="K14">
        <v>10</v>
      </c>
      <c r="L14" s="1">
        <f t="shared" si="1"/>
        <v>600.00682589999997</v>
      </c>
      <c r="M14">
        <f t="shared" si="2"/>
        <v>311828</v>
      </c>
      <c r="N14">
        <f t="shared" si="3"/>
        <v>4922</v>
      </c>
      <c r="O14" s="1">
        <f t="shared" si="4"/>
        <v>6.5437920089999997</v>
      </c>
      <c r="P14">
        <f t="shared" si="5"/>
        <v>6382</v>
      </c>
      <c r="Q14">
        <f t="shared" si="6"/>
        <v>116</v>
      </c>
      <c r="R14" s="1">
        <f t="shared" si="7"/>
        <v>36.285121920000002</v>
      </c>
      <c r="S14">
        <f t="shared" si="8"/>
        <v>12372</v>
      </c>
      <c r="T14">
        <f t="shared" si="9"/>
        <v>107</v>
      </c>
      <c r="X14">
        <f t="shared" si="10"/>
        <v>1</v>
      </c>
      <c r="Y14">
        <f t="shared" si="11"/>
        <v>0</v>
      </c>
      <c r="AA14" t="str">
        <f t="shared" si="12"/>
        <v>pard200_6 &amp; 10 &amp; 600.01 &amp; 311828 &amp; 4922 &amp; 6.54 &amp; 6382 &amp; 116 &amp; 36.29 &amp; 12372 &amp; 107\\</v>
      </c>
    </row>
    <row r="15" spans="1:27" x14ac:dyDescent="0.2">
      <c r="A15" t="s">
        <v>0</v>
      </c>
      <c r="B15" t="s">
        <v>14</v>
      </c>
      <c r="C15" t="s">
        <v>15</v>
      </c>
      <c r="D15" t="s">
        <v>16</v>
      </c>
      <c r="E15" t="s">
        <v>17</v>
      </c>
      <c r="F15" t="s">
        <v>18</v>
      </c>
      <c r="G15" t="s">
        <v>19</v>
      </c>
      <c r="I15" t="str">
        <f t="shared" si="17"/>
        <v>pard200_6</v>
      </c>
      <c r="J15">
        <v>200</v>
      </c>
      <c r="K15">
        <v>200</v>
      </c>
      <c r="L15" s="1">
        <f t="shared" si="1"/>
        <v>600.00177980000001</v>
      </c>
      <c r="M15">
        <f t="shared" si="2"/>
        <v>1280000</v>
      </c>
      <c r="N15">
        <f t="shared" si="3"/>
        <v>1016</v>
      </c>
      <c r="O15" s="1">
        <f t="shared" si="4"/>
        <v>600.00906799999996</v>
      </c>
      <c r="P15">
        <f t="shared" si="5"/>
        <v>479900</v>
      </c>
      <c r="Q15">
        <f t="shared" si="6"/>
        <v>789</v>
      </c>
      <c r="R15" s="1">
        <f t="shared" si="7"/>
        <v>600.01544904708805</v>
      </c>
      <c r="S15">
        <f t="shared" si="8"/>
        <v>557600</v>
      </c>
      <c r="T15">
        <f t="shared" si="9"/>
        <v>580</v>
      </c>
      <c r="X15">
        <f t="shared" si="10"/>
        <v>1</v>
      </c>
      <c r="Y15">
        <f t="shared" si="11"/>
        <v>0</v>
      </c>
      <c r="AA15" t="str">
        <f>CONCATENATE(I15," &amp; ","nc", " &amp; ", ROUND(L15,2), " &amp; ", M15, " &amp; ", N15, " &amp; ",  ROUND(O15,2), " &amp; ", P15, " &amp; ", Q15, " &amp; ", ROUND(R15,2), " &amp; ", S15, " &amp; ", T15,  "\\\midrule")</f>
        <v>pard200_6 &amp; nc &amp; 600 &amp; 1280000 &amp; 1016 &amp; 600.01 &amp; 479900 &amp; 789 &amp; 600.02 &amp; 557600 &amp; 580\\\midrule</v>
      </c>
    </row>
    <row r="16" spans="1:27" x14ac:dyDescent="0.2">
      <c r="A16" t="s">
        <v>26</v>
      </c>
      <c r="B16">
        <v>10</v>
      </c>
      <c r="C16" t="s">
        <v>21</v>
      </c>
      <c r="D16" t="s">
        <v>58</v>
      </c>
      <c r="E16">
        <v>71.953339819999997</v>
      </c>
      <c r="F16">
        <v>55053</v>
      </c>
      <c r="G16">
        <v>365</v>
      </c>
      <c r="I16" t="str">
        <f t="shared" ref="I16:I17" si="18">CONCATENATE($I$1,"7")</f>
        <v>pard200_7</v>
      </c>
      <c r="J16">
        <v>200</v>
      </c>
      <c r="K16">
        <v>10</v>
      </c>
      <c r="L16" s="1">
        <f t="shared" si="1"/>
        <v>549.81090589999997</v>
      </c>
      <c r="M16">
        <f t="shared" si="2"/>
        <v>389009</v>
      </c>
      <c r="N16">
        <f t="shared" si="3"/>
        <v>2542</v>
      </c>
      <c r="O16" s="1">
        <f t="shared" si="4"/>
        <v>515.59166809999999</v>
      </c>
      <c r="P16">
        <f t="shared" si="5"/>
        <v>228069</v>
      </c>
      <c r="Q16">
        <f t="shared" si="6"/>
        <v>1336</v>
      </c>
      <c r="R16" s="1">
        <f t="shared" si="7"/>
        <v>292.42056179999997</v>
      </c>
      <c r="S16">
        <f t="shared" si="8"/>
        <v>105853</v>
      </c>
      <c r="T16">
        <f t="shared" si="9"/>
        <v>743</v>
      </c>
      <c r="X16">
        <f t="shared" si="10"/>
        <v>1</v>
      </c>
      <c r="Y16">
        <f t="shared" si="11"/>
        <v>0</v>
      </c>
      <c r="AA16" t="str">
        <f t="shared" si="12"/>
        <v>pard200_7 &amp; 10 &amp; 549.81 &amp; 389009 &amp; 2542 &amp; 515.59 &amp; 228069 &amp; 1336 &amp; 292.42 &amp; 105853 &amp; 743\\</v>
      </c>
    </row>
    <row r="17" spans="1:27" x14ac:dyDescent="0.2">
      <c r="A17" t="s">
        <v>0</v>
      </c>
      <c r="B17" t="s">
        <v>14</v>
      </c>
      <c r="C17" t="s">
        <v>15</v>
      </c>
      <c r="D17" t="s">
        <v>16</v>
      </c>
      <c r="E17" t="s">
        <v>17</v>
      </c>
      <c r="F17" t="s">
        <v>18</v>
      </c>
      <c r="G17" t="s">
        <v>19</v>
      </c>
      <c r="I17" t="str">
        <f t="shared" si="18"/>
        <v>pard200_7</v>
      </c>
      <c r="J17">
        <v>200</v>
      </c>
      <c r="K17">
        <v>200</v>
      </c>
      <c r="L17" s="3">
        <f t="shared" si="1"/>
        <v>600.00210118293705</v>
      </c>
      <c r="M17">
        <f t="shared" si="2"/>
        <v>1244784</v>
      </c>
      <c r="N17">
        <f t="shared" si="3"/>
        <v>522</v>
      </c>
      <c r="O17" s="1">
        <f t="shared" si="4"/>
        <v>600.00580406188897</v>
      </c>
      <c r="P17">
        <f t="shared" si="5"/>
        <v>496200</v>
      </c>
      <c r="Q17">
        <f t="shared" si="6"/>
        <v>183</v>
      </c>
      <c r="R17" s="1">
        <f t="shared" si="7"/>
        <v>600.01126980781498</v>
      </c>
      <c r="S17">
        <f t="shared" si="8"/>
        <v>502600</v>
      </c>
      <c r="T17">
        <f t="shared" si="9"/>
        <v>119</v>
      </c>
      <c r="X17">
        <f t="shared" si="10"/>
        <v>1</v>
      </c>
      <c r="Y17">
        <f t="shared" si="11"/>
        <v>0</v>
      </c>
      <c r="AA17" t="str">
        <f>CONCATENATE(I17," &amp; ","nc", " &amp; ", ROUND(L17,2), " &amp; ", M17, " &amp; ", N17, " &amp; ",  ROUND(O17,2), " &amp; ", P17, " &amp; ", Q17, " &amp; ", ROUND(R17,2), " &amp; ", S17, " &amp; ", T17,  "\\\midrule")</f>
        <v>pard200_7 &amp; nc &amp; 600 &amp; 1244784 &amp; 522 &amp; 600.01 &amp; 496200 &amp; 183 &amp; 600.01 &amp; 502600 &amp; 119\\\midrule</v>
      </c>
    </row>
    <row r="18" spans="1:27" x14ac:dyDescent="0.2">
      <c r="A18" t="s">
        <v>26</v>
      </c>
      <c r="B18">
        <v>10</v>
      </c>
      <c r="C18" t="s">
        <v>21</v>
      </c>
      <c r="D18" t="s">
        <v>59</v>
      </c>
      <c r="E18">
        <v>76.641571999999996</v>
      </c>
      <c r="F18">
        <v>30911</v>
      </c>
      <c r="G18">
        <v>249</v>
      </c>
      <c r="I18" t="str">
        <f t="shared" ref="I18:I19" si="19">CONCATENATE($I$1,"8")</f>
        <v>pard200_8</v>
      </c>
      <c r="J18">
        <v>200</v>
      </c>
      <c r="K18">
        <v>10</v>
      </c>
      <c r="L18" s="1">
        <f t="shared" si="1"/>
        <v>600.00631093978802</v>
      </c>
      <c r="M18">
        <f t="shared" si="2"/>
        <v>399187</v>
      </c>
      <c r="N18">
        <f t="shared" si="3"/>
        <v>3419</v>
      </c>
      <c r="O18" s="1">
        <f t="shared" si="4"/>
        <v>2.3178639411926198</v>
      </c>
      <c r="P18">
        <f t="shared" si="5"/>
        <v>1638</v>
      </c>
      <c r="Q18">
        <f t="shared" si="6"/>
        <v>46</v>
      </c>
      <c r="R18" s="1">
        <f t="shared" si="7"/>
        <v>20.192118883132899</v>
      </c>
      <c r="S18">
        <f t="shared" si="8"/>
        <v>1716</v>
      </c>
      <c r="T18">
        <f t="shared" si="9"/>
        <v>45</v>
      </c>
      <c r="X18">
        <f t="shared" si="10"/>
        <v>1</v>
      </c>
      <c r="Y18">
        <f t="shared" si="11"/>
        <v>0</v>
      </c>
      <c r="AA18" t="str">
        <f t="shared" si="12"/>
        <v>pard200_8 &amp; 10 &amp; 600.01 &amp; 399187 &amp; 3419 &amp; 2.32 &amp; 1638 &amp; 46 &amp; 20.19 &amp; 1716 &amp; 45\\</v>
      </c>
    </row>
    <row r="19" spans="1:27" x14ac:dyDescent="0.2">
      <c r="A19" t="s">
        <v>0</v>
      </c>
      <c r="B19" t="s">
        <v>14</v>
      </c>
      <c r="C19" t="s">
        <v>15</v>
      </c>
      <c r="D19" t="s">
        <v>16</v>
      </c>
      <c r="E19" t="s">
        <v>17</v>
      </c>
      <c r="F19" t="s">
        <v>18</v>
      </c>
      <c r="G19" t="s">
        <v>19</v>
      </c>
      <c r="I19" t="str">
        <f t="shared" si="19"/>
        <v>pard200_8</v>
      </c>
      <c r="J19">
        <v>200</v>
      </c>
      <c r="K19">
        <v>200</v>
      </c>
      <c r="L19" s="1">
        <f t="shared" si="1"/>
        <v>600.00389099121003</v>
      </c>
      <c r="M19">
        <f t="shared" si="2"/>
        <v>1336700</v>
      </c>
      <c r="N19">
        <f t="shared" si="3"/>
        <v>862</v>
      </c>
      <c r="O19" s="1">
        <f t="shared" si="4"/>
        <v>600.009209871292</v>
      </c>
      <c r="P19">
        <f t="shared" si="5"/>
        <v>674300</v>
      </c>
      <c r="Q19">
        <f t="shared" si="6"/>
        <v>552</v>
      </c>
      <c r="R19" s="1">
        <f t="shared" si="7"/>
        <v>600.01931905746403</v>
      </c>
      <c r="S19">
        <f t="shared" si="8"/>
        <v>507900</v>
      </c>
      <c r="T19">
        <f t="shared" si="9"/>
        <v>420</v>
      </c>
      <c r="X19">
        <f t="shared" si="10"/>
        <v>1</v>
      </c>
      <c r="Y19">
        <f t="shared" si="11"/>
        <v>0</v>
      </c>
      <c r="AA19" t="str">
        <f>CONCATENATE(I19," &amp; ","nc", " &amp; ", ROUND(L19,2), " &amp; ", M19, " &amp; ", N19, " &amp; ",  ROUND(O19,2), " &amp; ", P19, " &amp; ", Q19, " &amp; ", ROUND(R19,2), " &amp; ", S19, " &amp; ", T19,  "\\\midrule")</f>
        <v>pard200_8 &amp; nc &amp; 600 &amp; 1336700 &amp; 862 &amp; 600.01 &amp; 674300 &amp; 552 &amp; 600.02 &amp; 507900 &amp; 420\\\midrule</v>
      </c>
    </row>
    <row r="20" spans="1:27" x14ac:dyDescent="0.2">
      <c r="A20" t="s">
        <v>27</v>
      </c>
      <c r="B20">
        <v>10</v>
      </c>
      <c r="C20" t="s">
        <v>21</v>
      </c>
      <c r="D20" t="s">
        <v>1</v>
      </c>
      <c r="E20">
        <v>600.00629089999995</v>
      </c>
      <c r="F20">
        <v>442530</v>
      </c>
      <c r="G20">
        <v>1967</v>
      </c>
      <c r="I20" t="str">
        <f t="shared" ref="I20:I21" si="20">CONCATENATE($I$1,"9")</f>
        <v>pard200_9</v>
      </c>
      <c r="J20">
        <v>200</v>
      </c>
      <c r="K20">
        <v>10</v>
      </c>
      <c r="L20" s="1">
        <f t="shared" si="1"/>
        <v>589.68233418464604</v>
      </c>
      <c r="M20">
        <f t="shared" si="2"/>
        <v>576133</v>
      </c>
      <c r="N20">
        <f t="shared" si="3"/>
        <v>1756</v>
      </c>
      <c r="O20" s="1">
        <f t="shared" si="4"/>
        <v>6.3090260028839102</v>
      </c>
      <c r="P20">
        <f t="shared" si="5"/>
        <v>8746</v>
      </c>
      <c r="Q20">
        <f t="shared" si="6"/>
        <v>122</v>
      </c>
      <c r="R20" s="1">
        <f t="shared" si="7"/>
        <v>26.533160924911499</v>
      </c>
      <c r="S20">
        <f t="shared" si="8"/>
        <v>8290</v>
      </c>
      <c r="T20">
        <f t="shared" si="9"/>
        <v>143</v>
      </c>
      <c r="X20">
        <f t="shared" si="10"/>
        <v>1</v>
      </c>
      <c r="Y20">
        <f t="shared" si="11"/>
        <v>0</v>
      </c>
      <c r="AA20" t="str">
        <f t="shared" si="12"/>
        <v>pard200_9 &amp; 10 &amp; 589.68 &amp; 576133 &amp; 1756 &amp; 6.31 &amp; 8746 &amp; 122 &amp; 26.53 &amp; 8290 &amp; 143\\</v>
      </c>
    </row>
    <row r="21" spans="1:27" x14ac:dyDescent="0.2">
      <c r="A21" t="s">
        <v>27</v>
      </c>
      <c r="B21">
        <v>10</v>
      </c>
      <c r="C21" t="s">
        <v>21</v>
      </c>
      <c r="D21" t="s">
        <v>59</v>
      </c>
      <c r="E21">
        <v>228.8815491</v>
      </c>
      <c r="F21">
        <v>135501</v>
      </c>
      <c r="G21">
        <v>760</v>
      </c>
      <c r="I21" t="str">
        <f t="shared" si="20"/>
        <v>pard200_9</v>
      </c>
      <c r="J21">
        <v>200</v>
      </c>
      <c r="K21">
        <v>200</v>
      </c>
      <c r="L21" s="1">
        <f t="shared" si="1"/>
        <v>600.00830602645794</v>
      </c>
      <c r="M21">
        <f t="shared" si="2"/>
        <v>1263700</v>
      </c>
      <c r="N21">
        <f t="shared" si="3"/>
        <v>1941</v>
      </c>
      <c r="O21" s="1">
        <f t="shared" si="4"/>
        <v>600.01596307754505</v>
      </c>
      <c r="P21">
        <f t="shared" si="5"/>
        <v>703900</v>
      </c>
      <c r="Q21">
        <f t="shared" si="6"/>
        <v>1977</v>
      </c>
      <c r="R21" s="1">
        <f t="shared" si="7"/>
        <v>600.03558588027897</v>
      </c>
      <c r="S21">
        <f t="shared" si="8"/>
        <v>498000</v>
      </c>
      <c r="T21">
        <f t="shared" si="9"/>
        <v>1970</v>
      </c>
      <c r="X21">
        <f t="shared" si="10"/>
        <v>1</v>
      </c>
      <c r="Y21">
        <f t="shared" si="11"/>
        <v>0</v>
      </c>
      <c r="AA21" t="str">
        <f>CONCATENATE(I21," &amp; ","nc", " &amp; ", ROUND(L21,2), " &amp; ", M21, " &amp; ", N21, " &amp; ",  ROUND(O21,2), " &amp; ", P21, " &amp; ", Q21, " &amp; ", ROUND(R21,2), " &amp; ", S21, " &amp; ", T21,  "\\\midrule")</f>
        <v>pard200_9 &amp; nc &amp; 600.01 &amp; 1263700 &amp; 1941 &amp; 600.02 &amp; 703900 &amp; 1977 &amp; 600.04 &amp; 498000 &amp; 1970\\\midrule</v>
      </c>
    </row>
    <row r="22" spans="1:27" x14ac:dyDescent="0.2">
      <c r="A22" t="s">
        <v>0</v>
      </c>
      <c r="B22" t="s">
        <v>14</v>
      </c>
      <c r="C22" t="s">
        <v>15</v>
      </c>
      <c r="D22" t="s">
        <v>16</v>
      </c>
      <c r="E22" t="s">
        <v>17</v>
      </c>
      <c r="F22" t="s">
        <v>18</v>
      </c>
      <c r="G22" t="s">
        <v>19</v>
      </c>
      <c r="I22" t="str">
        <f t="shared" ref="I22:I23" si="21">CONCATENATE($I$1,"10")</f>
        <v>pard200_10</v>
      </c>
      <c r="J22">
        <v>200</v>
      </c>
      <c r="K22">
        <v>10</v>
      </c>
      <c r="L22" s="1">
        <f t="shared" si="1"/>
        <v>600.00914502143803</v>
      </c>
      <c r="M22">
        <f t="shared" si="2"/>
        <v>416219</v>
      </c>
      <c r="N22">
        <f t="shared" si="3"/>
        <v>3798</v>
      </c>
      <c r="O22" s="1">
        <f t="shared" si="4"/>
        <v>288.36455297470002</v>
      </c>
      <c r="P22">
        <f t="shared" si="5"/>
        <v>160308</v>
      </c>
      <c r="Q22">
        <f t="shared" si="6"/>
        <v>1070</v>
      </c>
      <c r="R22" s="1">
        <f t="shared" si="7"/>
        <v>421.96607208251902</v>
      </c>
      <c r="S22">
        <f t="shared" si="8"/>
        <v>192797</v>
      </c>
      <c r="T22">
        <f t="shared" si="9"/>
        <v>1002</v>
      </c>
      <c r="X22">
        <f t="shared" si="10"/>
        <v>1</v>
      </c>
      <c r="Y22">
        <f t="shared" si="11"/>
        <v>0</v>
      </c>
      <c r="AA22" t="str">
        <f t="shared" ref="AA22" si="22">CONCATENATE(I22," &amp; ",K22, " &amp; ", ROUND(L22,2), " &amp; ", M22, " &amp; ", N22, " &amp; ",  ROUND(O22,2), " &amp; ", P22, " &amp; ", Q22, " &amp; ", ROUND(R22,2), " &amp; ", S22, " &amp; ", T22,  "\\")</f>
        <v>pard200_10 &amp; 10 &amp; 600.01 &amp; 416219 &amp; 3798 &amp; 288.36 &amp; 160308 &amp; 1070 &amp; 421.97 &amp; 192797 &amp; 1002\\</v>
      </c>
    </row>
    <row r="23" spans="1:27" x14ac:dyDescent="0.2">
      <c r="A23" t="s">
        <v>28</v>
      </c>
      <c r="B23">
        <v>10</v>
      </c>
      <c r="C23" t="s">
        <v>21</v>
      </c>
      <c r="D23" t="s">
        <v>1</v>
      </c>
      <c r="E23">
        <v>600.00615600000003</v>
      </c>
      <c r="F23">
        <v>439940</v>
      </c>
      <c r="G23">
        <v>4965</v>
      </c>
      <c r="I23" t="str">
        <f t="shared" si="21"/>
        <v>pard200_10</v>
      </c>
      <c r="J23">
        <v>200</v>
      </c>
      <c r="K23">
        <v>200</v>
      </c>
      <c r="L23" s="1">
        <f t="shared" si="1"/>
        <v>600.01883316040005</v>
      </c>
      <c r="M23">
        <f t="shared" si="2"/>
        <v>974400</v>
      </c>
      <c r="N23">
        <f t="shared" si="3"/>
        <v>1584</v>
      </c>
      <c r="O23" s="1">
        <f t="shared" si="4"/>
        <v>600.03254985809303</v>
      </c>
      <c r="P23">
        <f t="shared" si="5"/>
        <v>498100</v>
      </c>
      <c r="Q23">
        <f t="shared" si="6"/>
        <v>1513</v>
      </c>
      <c r="R23" s="1">
        <f t="shared" si="7"/>
        <v>600.008385181427</v>
      </c>
      <c r="S23">
        <f t="shared" si="8"/>
        <v>313400</v>
      </c>
      <c r="T23">
        <f t="shared" si="9"/>
        <v>1482</v>
      </c>
      <c r="X23">
        <f t="shared" si="10"/>
        <v>1</v>
      </c>
      <c r="Y23">
        <f t="shared" si="11"/>
        <v>0</v>
      </c>
      <c r="AA23" t="str">
        <f>CONCATENATE(I23," &amp; ","nc", " &amp; ", ROUND(L23,2), " &amp; ", M23, " &amp; ", N23, " &amp; ",  ROUND(O23,2), " &amp; ", P23, " &amp; ", Q23, " &amp; ", ROUND(R23,2), " &amp; ", S23, " &amp; ", T23,  "\\")</f>
        <v>pard200_10 &amp; nc &amp; 600.02 &amp; 974400 &amp; 1584 &amp; 600.03 &amp; 498100 &amp; 1513 &amp; 600.01 &amp; 313400 &amp; 1482\\</v>
      </c>
    </row>
    <row r="24" spans="1:27" x14ac:dyDescent="0.2">
      <c r="A24" t="s">
        <v>0</v>
      </c>
      <c r="B24" t="s">
        <v>14</v>
      </c>
      <c r="C24" t="s">
        <v>15</v>
      </c>
      <c r="D24" t="s">
        <v>16</v>
      </c>
      <c r="E24" t="s">
        <v>17</v>
      </c>
      <c r="F24" t="s">
        <v>18</v>
      </c>
      <c r="G24" t="s">
        <v>19</v>
      </c>
      <c r="I24" t="str">
        <f>CONCATENATE($K$1,"1")</f>
        <v>pard300_1</v>
      </c>
      <c r="J24">
        <v>300</v>
      </c>
      <c r="K24">
        <v>10</v>
      </c>
      <c r="L24" s="1">
        <f t="shared" si="1"/>
        <v>0</v>
      </c>
      <c r="M24">
        <f t="shared" si="2"/>
        <v>0</v>
      </c>
      <c r="N24">
        <f t="shared" si="3"/>
        <v>0</v>
      </c>
      <c r="O24" s="1">
        <f t="shared" si="4"/>
        <v>0</v>
      </c>
      <c r="P24">
        <f t="shared" si="5"/>
        <v>0</v>
      </c>
      <c r="Q24">
        <f t="shared" si="6"/>
        <v>0</v>
      </c>
      <c r="R24" s="1">
        <f t="shared" si="7"/>
        <v>0</v>
      </c>
      <c r="S24">
        <f t="shared" si="8"/>
        <v>0</v>
      </c>
      <c r="T24">
        <f t="shared" si="9"/>
        <v>0</v>
      </c>
      <c r="X24">
        <f t="shared" si="10"/>
        <v>0</v>
      </c>
      <c r="Y24">
        <f t="shared" si="11"/>
        <v>0</v>
      </c>
      <c r="AA24" t="str">
        <f t="shared" ref="AA24" si="23">CONCATENATE(I24," &amp; ",K24, " &amp; ", ROUND(L24,2), " &amp; ", M24, " &amp; ", N24, " &amp; ",  ROUND(O24,2), " &amp; ", P24, " &amp; ", Q24, " &amp; ", ROUND(R24,2), " &amp; ", S24, " &amp; ", T24,  "\\")</f>
        <v>pard300_1 &amp; 10 &amp; 0 &amp; 0 &amp; 0 &amp; 0 &amp; 0 &amp; 0 &amp; 0 &amp; 0 &amp; 0\\</v>
      </c>
    </row>
    <row r="25" spans="1:27" x14ac:dyDescent="0.2">
      <c r="A25" t="s">
        <v>28</v>
      </c>
      <c r="B25">
        <v>10</v>
      </c>
      <c r="C25" t="s">
        <v>21</v>
      </c>
      <c r="D25" t="s">
        <v>58</v>
      </c>
      <c r="E25">
        <v>48.867465019999997</v>
      </c>
      <c r="F25">
        <v>70198</v>
      </c>
      <c r="G25">
        <v>206</v>
      </c>
      <c r="I25" t="str">
        <f t="shared" ref="I25" si="24">CONCATENATE($K$1,"1")</f>
        <v>pard300_1</v>
      </c>
      <c r="J25">
        <v>300</v>
      </c>
      <c r="K25">
        <v>300</v>
      </c>
      <c r="L25" s="1">
        <f t="shared" si="1"/>
        <v>0</v>
      </c>
      <c r="M25">
        <f t="shared" si="2"/>
        <v>0</v>
      </c>
      <c r="N25">
        <f t="shared" si="3"/>
        <v>0</v>
      </c>
      <c r="O25" s="1">
        <f t="shared" si="4"/>
        <v>0</v>
      </c>
      <c r="P25">
        <f t="shared" si="5"/>
        <v>0</v>
      </c>
      <c r="Q25">
        <f t="shared" si="6"/>
        <v>0</v>
      </c>
      <c r="R25" s="1">
        <f t="shared" si="7"/>
        <v>0</v>
      </c>
      <c r="S25">
        <f t="shared" si="8"/>
        <v>0</v>
      </c>
      <c r="T25">
        <f t="shared" si="9"/>
        <v>0</v>
      </c>
      <c r="X25">
        <f t="shared" si="10"/>
        <v>0</v>
      </c>
      <c r="Y25">
        <f t="shared" si="11"/>
        <v>0</v>
      </c>
      <c r="AA25" t="str">
        <f>CONCATENATE(I25," &amp; ","nc", " &amp; ", ROUND(L25,2), " &amp; ", M25, " &amp; ", N25, " &amp; ",  ROUND(O25,2), " &amp; ", P25, " &amp; ", Q25, " &amp; ", ROUND(R25,2), " &amp; ", S25, " &amp; ", T25,  "\\")</f>
        <v>pard300_1 &amp; nc &amp; 0 &amp; 0 &amp; 0 &amp; 0 &amp; 0 &amp; 0 &amp; 0 &amp; 0 &amp; 0\\</v>
      </c>
    </row>
    <row r="26" spans="1:27" x14ac:dyDescent="0.2">
      <c r="A26" t="s">
        <v>0</v>
      </c>
      <c r="B26" t="s">
        <v>14</v>
      </c>
      <c r="C26" t="s">
        <v>15</v>
      </c>
      <c r="D26" t="s">
        <v>16</v>
      </c>
      <c r="E26" t="s">
        <v>17</v>
      </c>
      <c r="F26" t="s">
        <v>18</v>
      </c>
      <c r="G26" t="s">
        <v>19</v>
      </c>
      <c r="I26" t="str">
        <f>CONCATENATE($K$1,"2")</f>
        <v>pard300_2</v>
      </c>
      <c r="J26">
        <v>300</v>
      </c>
      <c r="K26">
        <v>10</v>
      </c>
      <c r="L26" s="1">
        <f t="shared" si="1"/>
        <v>0</v>
      </c>
      <c r="M26">
        <f t="shared" si="2"/>
        <v>0</v>
      </c>
      <c r="N26">
        <f t="shared" si="3"/>
        <v>0</v>
      </c>
      <c r="O26" s="1">
        <f t="shared" si="4"/>
        <v>0</v>
      </c>
      <c r="P26">
        <f t="shared" si="5"/>
        <v>0</v>
      </c>
      <c r="Q26">
        <f t="shared" si="6"/>
        <v>0</v>
      </c>
      <c r="R26" s="1">
        <f t="shared" si="7"/>
        <v>0</v>
      </c>
      <c r="S26">
        <f t="shared" si="8"/>
        <v>0</v>
      </c>
      <c r="T26">
        <f t="shared" si="9"/>
        <v>0</v>
      </c>
      <c r="X26">
        <f t="shared" si="10"/>
        <v>0</v>
      </c>
      <c r="Y26">
        <f t="shared" si="11"/>
        <v>0</v>
      </c>
      <c r="AA26" t="str">
        <f t="shared" ref="AA26" si="25">CONCATENATE(I26," &amp; ",K26, " &amp; ", ROUND(L26,2), " &amp; ", M26, " &amp; ", N26, " &amp; ",  ROUND(O26,2), " &amp; ", P26, " &amp; ", Q26, " &amp; ", ROUND(R26,2), " &amp; ", S26, " &amp; ", T26,  "\\")</f>
        <v>pard300_2 &amp; 10 &amp; 0 &amp; 0 &amp; 0 &amp; 0 &amp; 0 &amp; 0 &amp; 0 &amp; 0 &amp; 0\\</v>
      </c>
    </row>
    <row r="27" spans="1:27" x14ac:dyDescent="0.2">
      <c r="A27" t="s">
        <v>28</v>
      </c>
      <c r="B27">
        <v>10</v>
      </c>
      <c r="C27" t="s">
        <v>21</v>
      </c>
      <c r="D27" t="s">
        <v>59</v>
      </c>
      <c r="E27">
        <v>69.71156311</v>
      </c>
      <c r="F27">
        <v>52301</v>
      </c>
      <c r="G27">
        <v>204</v>
      </c>
      <c r="I27" t="str">
        <f>CONCATENATE($K$1,"2")</f>
        <v>pard300_2</v>
      </c>
      <c r="J27">
        <v>300</v>
      </c>
      <c r="K27">
        <v>300</v>
      </c>
      <c r="L27" s="1">
        <f t="shared" si="1"/>
        <v>0</v>
      </c>
      <c r="M27">
        <f t="shared" si="2"/>
        <v>0</v>
      </c>
      <c r="N27">
        <f t="shared" si="3"/>
        <v>0</v>
      </c>
      <c r="O27" s="1">
        <f t="shared" si="4"/>
        <v>0</v>
      </c>
      <c r="P27">
        <f t="shared" si="5"/>
        <v>0</v>
      </c>
      <c r="Q27">
        <f t="shared" si="6"/>
        <v>0</v>
      </c>
      <c r="R27" s="1">
        <f t="shared" si="7"/>
        <v>0</v>
      </c>
      <c r="S27">
        <f t="shared" si="8"/>
        <v>0</v>
      </c>
      <c r="T27">
        <f t="shared" si="9"/>
        <v>0</v>
      </c>
      <c r="X27">
        <f t="shared" si="10"/>
        <v>0</v>
      </c>
      <c r="Y27">
        <f t="shared" si="11"/>
        <v>0</v>
      </c>
      <c r="AA27" t="str">
        <f>CONCATENATE(I27," &amp; ","nc", " &amp; ", ROUND(L27,2), " &amp; ", M27, " &amp; ", N27, " &amp; ",  ROUND(O27,2), " &amp; ", P27, " &amp; ", Q27, " &amp; ", ROUND(R27,2), " &amp; ", S27, " &amp; ", T27,  "\\")</f>
        <v>pard300_2 &amp; nc &amp; 0 &amp; 0 &amp; 0 &amp; 0 &amp; 0 &amp; 0 &amp; 0 &amp; 0 &amp; 0\\</v>
      </c>
    </row>
    <row r="28" spans="1:27" x14ac:dyDescent="0.2">
      <c r="A28" t="s">
        <v>29</v>
      </c>
      <c r="B28">
        <v>10</v>
      </c>
      <c r="C28" t="s">
        <v>21</v>
      </c>
      <c r="D28" t="s">
        <v>1</v>
      </c>
      <c r="E28">
        <v>600.00682589999997</v>
      </c>
      <c r="F28">
        <v>311828</v>
      </c>
      <c r="G28">
        <v>4922</v>
      </c>
      <c r="I28" t="str">
        <f>CONCATENATE($K$1,"3")</f>
        <v>pard300_3</v>
      </c>
      <c r="J28">
        <v>300</v>
      </c>
      <c r="K28">
        <v>10</v>
      </c>
      <c r="L28" s="1">
        <f t="shared" si="1"/>
        <v>0</v>
      </c>
      <c r="M28">
        <f t="shared" si="2"/>
        <v>0</v>
      </c>
      <c r="N28">
        <f t="shared" si="3"/>
        <v>0</v>
      </c>
      <c r="O28" s="1">
        <f t="shared" si="4"/>
        <v>0</v>
      </c>
      <c r="P28">
        <f t="shared" si="5"/>
        <v>0</v>
      </c>
      <c r="Q28">
        <f t="shared" si="6"/>
        <v>0</v>
      </c>
      <c r="R28" s="1">
        <f t="shared" si="7"/>
        <v>0</v>
      </c>
      <c r="S28">
        <f t="shared" si="8"/>
        <v>0</v>
      </c>
      <c r="T28">
        <f t="shared" si="9"/>
        <v>0</v>
      </c>
      <c r="X28">
        <f t="shared" si="10"/>
        <v>0</v>
      </c>
      <c r="Y28">
        <f t="shared" si="11"/>
        <v>0</v>
      </c>
      <c r="AA28" t="str">
        <f t="shared" ref="AA28" si="26">CONCATENATE(I28," &amp; ",K28, " &amp; ", ROUND(L28,2), " &amp; ", M28, " &amp; ", N28, " &amp; ",  ROUND(O28,2), " &amp; ", P28, " &amp; ", Q28, " &amp; ", ROUND(R28,2), " &amp; ", S28, " &amp; ", T28,  "\\")</f>
        <v>pard300_3 &amp; 10 &amp; 0 &amp; 0 &amp; 0 &amp; 0 &amp; 0 &amp; 0 &amp; 0 &amp; 0 &amp; 0\\</v>
      </c>
    </row>
    <row r="29" spans="1:27" x14ac:dyDescent="0.2">
      <c r="A29" t="s">
        <v>0</v>
      </c>
      <c r="B29" t="s">
        <v>14</v>
      </c>
      <c r="C29" t="s">
        <v>15</v>
      </c>
      <c r="D29" t="s">
        <v>16</v>
      </c>
      <c r="E29" t="s">
        <v>17</v>
      </c>
      <c r="F29" t="s">
        <v>18</v>
      </c>
      <c r="G29" t="s">
        <v>19</v>
      </c>
      <c r="I29" t="str">
        <f>CONCATENATE($K$1,"3")</f>
        <v>pard300_3</v>
      </c>
      <c r="J29">
        <v>300</v>
      </c>
      <c r="K29">
        <v>300</v>
      </c>
      <c r="L29" s="1">
        <f t="shared" si="1"/>
        <v>0</v>
      </c>
      <c r="M29">
        <f t="shared" si="2"/>
        <v>0</v>
      </c>
      <c r="N29">
        <f t="shared" si="3"/>
        <v>0</v>
      </c>
      <c r="O29" s="1">
        <f t="shared" si="4"/>
        <v>0</v>
      </c>
      <c r="P29">
        <f t="shared" si="5"/>
        <v>0</v>
      </c>
      <c r="Q29">
        <f t="shared" si="6"/>
        <v>0</v>
      </c>
      <c r="R29" s="1">
        <f t="shared" si="7"/>
        <v>0</v>
      </c>
      <c r="S29">
        <f t="shared" si="8"/>
        <v>0</v>
      </c>
      <c r="T29">
        <f t="shared" si="9"/>
        <v>0</v>
      </c>
      <c r="X29">
        <f t="shared" si="10"/>
        <v>0</v>
      </c>
      <c r="Y29">
        <f t="shared" si="11"/>
        <v>0</v>
      </c>
      <c r="AA29" t="str">
        <f>CONCATENATE(I29," &amp; ","nc", " &amp; ", ROUND(L29,2), " &amp; ", M29, " &amp; ", N29, " &amp; ",  ROUND(O29,2), " &amp; ", P29, " &amp; ", Q29, " &amp; ", ROUND(R29,2), " &amp; ", S29, " &amp; ", T29,  "\\")</f>
        <v>pard300_3 &amp; nc &amp; 0 &amp; 0 &amp; 0 &amp; 0 &amp; 0 &amp; 0 &amp; 0 &amp; 0 &amp; 0\\</v>
      </c>
    </row>
    <row r="30" spans="1:27" x14ac:dyDescent="0.2">
      <c r="A30" t="s">
        <v>29</v>
      </c>
      <c r="B30">
        <v>10</v>
      </c>
      <c r="C30" t="s">
        <v>21</v>
      </c>
      <c r="D30" t="s">
        <v>58</v>
      </c>
      <c r="E30">
        <v>6.5437920089999997</v>
      </c>
      <c r="F30">
        <v>6382</v>
      </c>
      <c r="G30">
        <v>116</v>
      </c>
      <c r="I30" t="str">
        <f>CONCATENATE($K$1,"4")</f>
        <v>pard300_4</v>
      </c>
      <c r="J30">
        <v>300</v>
      </c>
      <c r="K30">
        <v>10</v>
      </c>
      <c r="L30" s="1">
        <f t="shared" si="1"/>
        <v>0</v>
      </c>
      <c r="M30">
        <f t="shared" si="2"/>
        <v>0</v>
      </c>
      <c r="N30">
        <f t="shared" si="3"/>
        <v>0</v>
      </c>
      <c r="O30" s="1">
        <f t="shared" si="4"/>
        <v>0</v>
      </c>
      <c r="P30">
        <f t="shared" si="5"/>
        <v>0</v>
      </c>
      <c r="Q30">
        <f t="shared" si="6"/>
        <v>0</v>
      </c>
      <c r="R30" s="1">
        <f t="shared" si="7"/>
        <v>0</v>
      </c>
      <c r="S30">
        <f t="shared" si="8"/>
        <v>0</v>
      </c>
      <c r="T30">
        <f t="shared" si="9"/>
        <v>0</v>
      </c>
      <c r="X30">
        <f t="shared" si="10"/>
        <v>0</v>
      </c>
      <c r="Y30">
        <f t="shared" si="11"/>
        <v>0</v>
      </c>
      <c r="AA30" t="str">
        <f t="shared" ref="AA30" si="27">CONCATENATE(I30," &amp; ",K30, " &amp; ", ROUND(L30,2), " &amp; ", M30, " &amp; ", N30, " &amp; ",  ROUND(O30,2), " &amp; ", P30, " &amp; ", Q30, " &amp; ", ROUND(R30,2), " &amp; ", S30, " &amp; ", T30,  "\\")</f>
        <v>pard300_4 &amp; 10 &amp; 0 &amp; 0 &amp; 0 &amp; 0 &amp; 0 &amp; 0 &amp; 0 &amp; 0 &amp; 0\\</v>
      </c>
    </row>
    <row r="31" spans="1:27" x14ac:dyDescent="0.2">
      <c r="A31" t="s">
        <v>0</v>
      </c>
      <c r="B31" t="s">
        <v>14</v>
      </c>
      <c r="C31" t="s">
        <v>15</v>
      </c>
      <c r="D31" t="s">
        <v>16</v>
      </c>
      <c r="E31" t="s">
        <v>17</v>
      </c>
      <c r="F31" t="s">
        <v>18</v>
      </c>
      <c r="G31" t="s">
        <v>19</v>
      </c>
      <c r="I31" t="str">
        <f>CONCATENATE($K$1,"4")</f>
        <v>pard300_4</v>
      </c>
      <c r="J31">
        <v>300</v>
      </c>
      <c r="K31">
        <v>300</v>
      </c>
      <c r="L31" s="1">
        <f t="shared" si="1"/>
        <v>0</v>
      </c>
      <c r="M31">
        <f t="shared" si="2"/>
        <v>0</v>
      </c>
      <c r="N31">
        <f t="shared" si="3"/>
        <v>0</v>
      </c>
      <c r="O31" s="1">
        <f t="shared" si="4"/>
        <v>0</v>
      </c>
      <c r="P31">
        <f t="shared" si="5"/>
        <v>0</v>
      </c>
      <c r="Q31">
        <f t="shared" si="6"/>
        <v>0</v>
      </c>
      <c r="R31" s="1">
        <f t="shared" si="7"/>
        <v>0</v>
      </c>
      <c r="S31">
        <f t="shared" si="8"/>
        <v>0</v>
      </c>
      <c r="T31">
        <f t="shared" si="9"/>
        <v>0</v>
      </c>
      <c r="X31">
        <f t="shared" si="10"/>
        <v>0</v>
      </c>
      <c r="Y31">
        <f t="shared" si="11"/>
        <v>0</v>
      </c>
      <c r="AA31" t="str">
        <f>CONCATENATE(I31," &amp; ","nc", " &amp; ", ROUND(L31,2), " &amp; ", M31, " &amp; ", N31, " &amp; ",  ROUND(O31,2), " &amp; ", P31, " &amp; ", Q31, " &amp; ", ROUND(R31,2), " &amp; ", S31, " &amp; ", T31,  "\\")</f>
        <v>pard300_4 &amp; nc &amp; 0 &amp; 0 &amp; 0 &amp; 0 &amp; 0 &amp; 0 &amp; 0 &amp; 0 &amp; 0\\</v>
      </c>
    </row>
    <row r="32" spans="1:27" x14ac:dyDescent="0.2">
      <c r="A32" t="s">
        <v>29</v>
      </c>
      <c r="B32">
        <v>10</v>
      </c>
      <c r="C32" t="s">
        <v>21</v>
      </c>
      <c r="D32" t="s">
        <v>59</v>
      </c>
      <c r="E32">
        <v>36.285121920000002</v>
      </c>
      <c r="F32">
        <v>12372</v>
      </c>
      <c r="G32">
        <v>107</v>
      </c>
      <c r="I32" t="str">
        <f>CONCATENATE($K$1,"5")</f>
        <v>pard300_5</v>
      </c>
      <c r="J32">
        <v>300</v>
      </c>
      <c r="K32">
        <v>10</v>
      </c>
      <c r="L32" s="1">
        <f t="shared" si="1"/>
        <v>0</v>
      </c>
      <c r="M32">
        <f t="shared" si="2"/>
        <v>0</v>
      </c>
      <c r="N32">
        <f t="shared" si="3"/>
        <v>0</v>
      </c>
      <c r="O32" s="1">
        <f t="shared" si="4"/>
        <v>0</v>
      </c>
      <c r="P32">
        <f t="shared" si="5"/>
        <v>0</v>
      </c>
      <c r="Q32">
        <f t="shared" si="6"/>
        <v>0</v>
      </c>
      <c r="R32" s="1">
        <f t="shared" si="7"/>
        <v>0</v>
      </c>
      <c r="S32">
        <f t="shared" si="8"/>
        <v>0</v>
      </c>
      <c r="T32">
        <f t="shared" si="9"/>
        <v>0</v>
      </c>
      <c r="X32">
        <f t="shared" si="10"/>
        <v>0</v>
      </c>
      <c r="Y32">
        <f t="shared" si="11"/>
        <v>0</v>
      </c>
      <c r="AA32" t="str">
        <f t="shared" ref="AA32" si="28">CONCATENATE(I32," &amp; ",K32, " &amp; ", ROUND(L32,2), " &amp; ", M32, " &amp; ", N32, " &amp; ",  ROUND(O32,2), " &amp; ", P32, " &amp; ", Q32, " &amp; ", ROUND(R32,2), " &amp; ", S32, " &amp; ", T32,  "\\")</f>
        <v>pard300_5 &amp; 10 &amp; 0 &amp; 0 &amp; 0 &amp; 0 &amp; 0 &amp; 0 &amp; 0 &amp; 0 &amp; 0\\</v>
      </c>
    </row>
    <row r="33" spans="1:27" x14ac:dyDescent="0.2">
      <c r="A33" t="s">
        <v>0</v>
      </c>
      <c r="B33" t="s">
        <v>14</v>
      </c>
      <c r="C33" t="s">
        <v>15</v>
      </c>
      <c r="D33" t="s">
        <v>16</v>
      </c>
      <c r="E33" t="s">
        <v>17</v>
      </c>
      <c r="F33" t="s">
        <v>18</v>
      </c>
      <c r="G33" t="s">
        <v>19</v>
      </c>
      <c r="I33" t="str">
        <f>CONCATENATE($K$1,"5")</f>
        <v>pard300_5</v>
      </c>
      <c r="J33">
        <v>300</v>
      </c>
      <c r="K33">
        <v>300</v>
      </c>
      <c r="L33" s="1">
        <f t="shared" si="1"/>
        <v>0</v>
      </c>
      <c r="M33">
        <f t="shared" si="2"/>
        <v>0</v>
      </c>
      <c r="N33">
        <f t="shared" si="3"/>
        <v>0</v>
      </c>
      <c r="O33" s="1">
        <f t="shared" si="4"/>
        <v>0</v>
      </c>
      <c r="P33">
        <f t="shared" si="5"/>
        <v>0</v>
      </c>
      <c r="Q33">
        <f t="shared" si="6"/>
        <v>0</v>
      </c>
      <c r="R33" s="1">
        <f t="shared" si="7"/>
        <v>0</v>
      </c>
      <c r="S33">
        <f t="shared" si="8"/>
        <v>0</v>
      </c>
      <c r="T33">
        <f t="shared" si="9"/>
        <v>0</v>
      </c>
      <c r="X33">
        <f t="shared" si="10"/>
        <v>0</v>
      </c>
      <c r="Y33">
        <f t="shared" si="11"/>
        <v>0</v>
      </c>
      <c r="AA33" t="str">
        <f>CONCATENATE(I33," &amp; ","nc", " &amp; ", ROUND(L33,2), " &amp; ", M33, " &amp; ", N33, " &amp; ",  ROUND(O33,2), " &amp; ", P33, " &amp; ", Q33, " &amp; ", ROUND(R33,2), " &amp; ", S33, " &amp; ", T33,  "\\")</f>
        <v>pard300_5 &amp; nc &amp; 0 &amp; 0 &amp; 0 &amp; 0 &amp; 0 &amp; 0 &amp; 0 &amp; 0 &amp; 0\\</v>
      </c>
    </row>
    <row r="34" spans="1:27" x14ac:dyDescent="0.2">
      <c r="A34" t="s">
        <v>30</v>
      </c>
      <c r="B34">
        <v>10</v>
      </c>
      <c r="C34" t="s">
        <v>21</v>
      </c>
      <c r="D34" t="s">
        <v>1</v>
      </c>
      <c r="E34">
        <v>549.81090589999997</v>
      </c>
      <c r="F34">
        <v>389009</v>
      </c>
      <c r="G34">
        <v>2542</v>
      </c>
      <c r="I34" t="str">
        <f>CONCATENATE($K$1,"6")</f>
        <v>pard300_6</v>
      </c>
      <c r="J34">
        <v>300</v>
      </c>
      <c r="K34">
        <v>10</v>
      </c>
      <c r="L34" s="1">
        <f t="shared" si="1"/>
        <v>0</v>
      </c>
      <c r="M34">
        <f t="shared" si="2"/>
        <v>0</v>
      </c>
      <c r="N34">
        <f t="shared" si="3"/>
        <v>0</v>
      </c>
      <c r="O34" s="1">
        <f t="shared" si="4"/>
        <v>0</v>
      </c>
      <c r="P34">
        <f t="shared" si="5"/>
        <v>0</v>
      </c>
      <c r="Q34">
        <f t="shared" si="6"/>
        <v>0</v>
      </c>
      <c r="R34" s="1">
        <f t="shared" si="7"/>
        <v>0</v>
      </c>
      <c r="S34">
        <f t="shared" si="8"/>
        <v>0</v>
      </c>
      <c r="T34">
        <f t="shared" si="9"/>
        <v>0</v>
      </c>
      <c r="X34">
        <f t="shared" si="10"/>
        <v>0</v>
      </c>
      <c r="Y34">
        <f t="shared" si="11"/>
        <v>0</v>
      </c>
      <c r="AA34" t="str">
        <f t="shared" ref="AA34" si="29">CONCATENATE(I34," &amp; ",K34, " &amp; ", ROUND(L34,2), " &amp; ", M34, " &amp; ", N34, " &amp; ",  ROUND(O34,2), " &amp; ", P34, " &amp; ", Q34, " &amp; ", ROUND(R34,2), " &amp; ", S34, " &amp; ", T34,  "\\")</f>
        <v>pard300_6 &amp; 10 &amp; 0 &amp; 0 &amp; 0 &amp; 0 &amp; 0 &amp; 0 &amp; 0 &amp; 0 &amp; 0\\</v>
      </c>
    </row>
    <row r="35" spans="1:27" x14ac:dyDescent="0.2">
      <c r="A35" t="s">
        <v>0</v>
      </c>
      <c r="B35" t="s">
        <v>14</v>
      </c>
      <c r="C35" t="s">
        <v>15</v>
      </c>
      <c r="D35" t="s">
        <v>16</v>
      </c>
      <c r="E35" t="s">
        <v>17</v>
      </c>
      <c r="F35" t="s">
        <v>18</v>
      </c>
      <c r="G35" t="s">
        <v>19</v>
      </c>
      <c r="I35" t="str">
        <f>CONCATENATE($K$1,"6")</f>
        <v>pard300_6</v>
      </c>
      <c r="J35">
        <v>300</v>
      </c>
      <c r="K35">
        <v>10</v>
      </c>
      <c r="L35" s="1">
        <f t="shared" si="1"/>
        <v>0</v>
      </c>
      <c r="M35">
        <f t="shared" si="2"/>
        <v>0</v>
      </c>
      <c r="N35">
        <f t="shared" si="3"/>
        <v>0</v>
      </c>
      <c r="O35" s="1">
        <f t="shared" si="4"/>
        <v>0</v>
      </c>
      <c r="P35">
        <f t="shared" si="5"/>
        <v>0</v>
      </c>
      <c r="Q35">
        <f t="shared" si="6"/>
        <v>0</v>
      </c>
      <c r="R35" s="1">
        <f t="shared" si="7"/>
        <v>0</v>
      </c>
      <c r="S35">
        <f t="shared" si="8"/>
        <v>0</v>
      </c>
      <c r="T35">
        <f t="shared" si="9"/>
        <v>0</v>
      </c>
      <c r="X35">
        <f t="shared" si="10"/>
        <v>0</v>
      </c>
      <c r="Y35">
        <f t="shared" si="11"/>
        <v>0</v>
      </c>
      <c r="AA35" t="str">
        <f>CONCATENATE(I35," &amp; ","nc", " &amp; ", ROUND(L35,2), " &amp; ", M35, " &amp; ", N35, " &amp; ",  ROUND(O35,2), " &amp; ", P35, " &amp; ", Q35, " &amp; ", ROUND(R35,2), " &amp; ", S35, " &amp; ", T35,  "\\")</f>
        <v>pard300_6 &amp; nc &amp; 0 &amp; 0 &amp; 0 &amp; 0 &amp; 0 &amp; 0 &amp; 0 &amp; 0 &amp; 0\\</v>
      </c>
    </row>
    <row r="36" spans="1:27" x14ac:dyDescent="0.2">
      <c r="A36" t="s">
        <v>30</v>
      </c>
      <c r="B36">
        <v>10</v>
      </c>
      <c r="C36" t="s">
        <v>21</v>
      </c>
      <c r="D36" t="s">
        <v>58</v>
      </c>
      <c r="E36">
        <v>515.59166809999999</v>
      </c>
      <c r="F36">
        <v>228069</v>
      </c>
      <c r="G36">
        <v>1336</v>
      </c>
      <c r="I36" t="str">
        <f>CONCATENATE($K$1,"7")</f>
        <v>pard300_7</v>
      </c>
      <c r="J36">
        <v>300</v>
      </c>
      <c r="K36">
        <v>300</v>
      </c>
      <c r="L36" s="1">
        <f t="shared" ref="L36:L63" si="30">SUMIFS(E:E,D:D,"OA",B:B,K36,A:A,I36)</f>
        <v>0</v>
      </c>
      <c r="M36">
        <f t="shared" ref="M36:M63" si="31">SUMIFS(F:F,A:A,I36,B:B,K36,D:D,"OA")</f>
        <v>0</v>
      </c>
      <c r="N36">
        <f t="shared" ref="N36:N63" si="32">SUMIFS(G:G,D:D,"OA",A:A,I36,B:B,K36)</f>
        <v>0</v>
      </c>
      <c r="O36" s="1">
        <f t="shared" ref="O36:O63" si="33">SUMIFS(E:E,D:D,"OA Kelley",B:B,K36,A:A,I36)</f>
        <v>0</v>
      </c>
      <c r="P36">
        <f t="shared" ref="P36:P63" si="34">SUMIFS(F:F,A:A,I36,B:B,K36,D:D,"OA Kelley")</f>
        <v>0</v>
      </c>
      <c r="Q36">
        <f t="shared" ref="Q36:Q63" si="35">SUMIFS(G:G,D:D,"OA Kelley",A:A,I36,B:B,K36)</f>
        <v>0</v>
      </c>
      <c r="R36" s="1">
        <f t="shared" ref="R36:R63" si="36">SUMIFS(E:E,D:D,"OA Kelley 50",B:B,K36,A:A,I36)</f>
        <v>0</v>
      </c>
      <c r="S36">
        <f t="shared" ref="S36:S63" si="37">SUMIFS(F:F,A:A,I36,B:B,K36,D:D,"OA Kelley 50")</f>
        <v>0</v>
      </c>
      <c r="T36">
        <f t="shared" ref="T36:T63" si="38">SUMIFS(G:G,D:D,"OA Kelley 50",A:A,I36,B:B,K36)</f>
        <v>0</v>
      </c>
      <c r="X36">
        <f t="shared" ref="X36:X63" si="39">COUNTIFS(D:D,"OA",B:B,K36,A:A,I36)</f>
        <v>0</v>
      </c>
      <c r="Y36">
        <f t="shared" ref="Y36:Y63" si="40">COUNTIFS(D:D,"CPLEX MISOCP",B:B,K36,A:A,I36)</f>
        <v>0</v>
      </c>
      <c r="AA36" t="str">
        <f t="shared" ref="AA36" si="41">CONCATENATE(I36," &amp; ",K36, " &amp; ", ROUND(L36,2), " &amp; ", M36, " &amp; ", N36, " &amp; ",  ROUND(O36,2), " &amp; ", P36, " &amp; ", Q36, " &amp; ", ROUND(R36,2), " &amp; ", S36, " &amp; ", T36,  "\\")</f>
        <v>pard300_7 &amp; 300 &amp; 0 &amp; 0 &amp; 0 &amp; 0 &amp; 0 &amp; 0 &amp; 0 &amp; 0 &amp; 0\\</v>
      </c>
    </row>
    <row r="37" spans="1:27" x14ac:dyDescent="0.2">
      <c r="A37" t="s">
        <v>0</v>
      </c>
      <c r="B37" t="s">
        <v>14</v>
      </c>
      <c r="C37" t="s">
        <v>15</v>
      </c>
      <c r="D37" t="s">
        <v>16</v>
      </c>
      <c r="E37" t="s">
        <v>17</v>
      </c>
      <c r="F37" t="s">
        <v>18</v>
      </c>
      <c r="G37" t="s">
        <v>19</v>
      </c>
      <c r="I37" t="str">
        <f>CONCATENATE($K$1,"7")</f>
        <v>pard300_7</v>
      </c>
      <c r="J37">
        <v>300</v>
      </c>
      <c r="K37">
        <v>10</v>
      </c>
      <c r="L37" s="1">
        <f t="shared" si="30"/>
        <v>0</v>
      </c>
      <c r="M37">
        <f t="shared" si="31"/>
        <v>0</v>
      </c>
      <c r="N37">
        <f t="shared" si="32"/>
        <v>0</v>
      </c>
      <c r="O37" s="1">
        <f t="shared" si="33"/>
        <v>0</v>
      </c>
      <c r="P37">
        <f t="shared" si="34"/>
        <v>0</v>
      </c>
      <c r="Q37">
        <f t="shared" si="35"/>
        <v>0</v>
      </c>
      <c r="R37" s="1">
        <f t="shared" si="36"/>
        <v>0</v>
      </c>
      <c r="S37">
        <f t="shared" si="37"/>
        <v>0</v>
      </c>
      <c r="T37">
        <f t="shared" si="38"/>
        <v>0</v>
      </c>
      <c r="X37">
        <f t="shared" si="39"/>
        <v>0</v>
      </c>
      <c r="Y37">
        <f t="shared" si="40"/>
        <v>0</v>
      </c>
      <c r="AA37" t="str">
        <f>CONCATENATE(I37," &amp; ","nc", " &amp; ", ROUND(L37,2), " &amp; ", M37, " &amp; ", N37, " &amp; ",  ROUND(O37,2), " &amp; ", P37, " &amp; ", Q37, " &amp; ", ROUND(R37,2), " &amp; ", S37, " &amp; ", T37,  "\\")</f>
        <v>pard300_7 &amp; nc &amp; 0 &amp; 0 &amp; 0 &amp; 0 &amp; 0 &amp; 0 &amp; 0 &amp; 0 &amp; 0\\</v>
      </c>
    </row>
    <row r="38" spans="1:27" x14ac:dyDescent="0.2">
      <c r="A38" t="s">
        <v>30</v>
      </c>
      <c r="B38">
        <v>10</v>
      </c>
      <c r="C38" t="s">
        <v>21</v>
      </c>
      <c r="D38" t="s">
        <v>59</v>
      </c>
      <c r="E38">
        <v>292.42056179999997</v>
      </c>
      <c r="F38">
        <v>105853</v>
      </c>
      <c r="G38">
        <v>743</v>
      </c>
      <c r="I38" t="str">
        <f>CONCATENATE($K$1,"8")</f>
        <v>pard300_8</v>
      </c>
      <c r="J38">
        <v>300</v>
      </c>
      <c r="K38">
        <v>300</v>
      </c>
      <c r="L38" s="1">
        <f t="shared" si="30"/>
        <v>0</v>
      </c>
      <c r="M38">
        <f t="shared" si="31"/>
        <v>0</v>
      </c>
      <c r="N38">
        <f t="shared" si="32"/>
        <v>0</v>
      </c>
      <c r="O38" s="1">
        <f t="shared" si="33"/>
        <v>0</v>
      </c>
      <c r="P38">
        <f t="shared" si="34"/>
        <v>0</v>
      </c>
      <c r="Q38">
        <f t="shared" si="35"/>
        <v>0</v>
      </c>
      <c r="R38" s="1">
        <f t="shared" si="36"/>
        <v>0</v>
      </c>
      <c r="S38">
        <f t="shared" si="37"/>
        <v>0</v>
      </c>
      <c r="T38">
        <f t="shared" si="38"/>
        <v>0</v>
      </c>
      <c r="X38">
        <f t="shared" si="39"/>
        <v>0</v>
      </c>
      <c r="Y38">
        <f t="shared" si="40"/>
        <v>0</v>
      </c>
      <c r="AA38" t="str">
        <f t="shared" ref="AA38" si="42">CONCATENATE(I38," &amp; ",K38, " &amp; ", ROUND(L38,2), " &amp; ", M38, " &amp; ", N38, " &amp; ",  ROUND(O38,2), " &amp; ", P38, " &amp; ", Q38, " &amp; ", ROUND(R38,2), " &amp; ", S38, " &amp; ", T38,  "\\")</f>
        <v>pard300_8 &amp; 300 &amp; 0 &amp; 0 &amp; 0 &amp; 0 &amp; 0 &amp; 0 &amp; 0 &amp; 0 &amp; 0\\</v>
      </c>
    </row>
    <row r="39" spans="1:27" x14ac:dyDescent="0.2">
      <c r="A39" t="s">
        <v>31</v>
      </c>
      <c r="B39">
        <v>10</v>
      </c>
      <c r="C39" t="s">
        <v>21</v>
      </c>
      <c r="D39" t="s">
        <v>1</v>
      </c>
      <c r="E39">
        <v>600.00631093978802</v>
      </c>
      <c r="F39">
        <v>399187</v>
      </c>
      <c r="G39">
        <v>3419</v>
      </c>
      <c r="I39" t="str">
        <f>CONCATENATE($K$1,"8")</f>
        <v>pard300_8</v>
      </c>
      <c r="J39">
        <v>300</v>
      </c>
      <c r="K39">
        <v>10</v>
      </c>
      <c r="L39" s="1">
        <f t="shared" si="30"/>
        <v>0</v>
      </c>
      <c r="M39">
        <f t="shared" si="31"/>
        <v>0</v>
      </c>
      <c r="N39">
        <f t="shared" si="32"/>
        <v>0</v>
      </c>
      <c r="O39" s="1">
        <f t="shared" si="33"/>
        <v>0</v>
      </c>
      <c r="P39">
        <f t="shared" si="34"/>
        <v>0</v>
      </c>
      <c r="Q39">
        <f t="shared" si="35"/>
        <v>0</v>
      </c>
      <c r="R39" s="1">
        <f t="shared" si="36"/>
        <v>0</v>
      </c>
      <c r="S39">
        <f t="shared" si="37"/>
        <v>0</v>
      </c>
      <c r="T39">
        <f t="shared" si="38"/>
        <v>0</v>
      </c>
      <c r="X39">
        <f t="shared" si="39"/>
        <v>0</v>
      </c>
      <c r="Y39">
        <f t="shared" si="40"/>
        <v>0</v>
      </c>
      <c r="AA39" t="str">
        <f>CONCATENATE(I39," &amp; ","nc", " &amp; ", ROUND(L39,2), " &amp; ", M39, " &amp; ", N39, " &amp; ",  ROUND(O39,2), " &amp; ", P39, " &amp; ", Q39, " &amp; ", ROUND(R39,2), " &amp; ", S39, " &amp; ", T39,  "\\")</f>
        <v>pard300_8 &amp; nc &amp; 0 &amp; 0 &amp; 0 &amp; 0 &amp; 0 &amp; 0 &amp; 0 &amp; 0 &amp; 0\\</v>
      </c>
    </row>
    <row r="40" spans="1:27" x14ac:dyDescent="0.2">
      <c r="A40" t="s">
        <v>0</v>
      </c>
      <c r="B40" t="s">
        <v>14</v>
      </c>
      <c r="C40" t="s">
        <v>15</v>
      </c>
      <c r="D40" t="s">
        <v>16</v>
      </c>
      <c r="E40" t="s">
        <v>17</v>
      </c>
      <c r="F40" t="s">
        <v>18</v>
      </c>
      <c r="G40" t="s">
        <v>19</v>
      </c>
      <c r="I40" t="str">
        <f>CONCATENATE($K$1,"9")</f>
        <v>pard300_9</v>
      </c>
      <c r="J40">
        <v>300</v>
      </c>
      <c r="K40">
        <v>300</v>
      </c>
      <c r="L40" s="1">
        <f t="shared" si="30"/>
        <v>0</v>
      </c>
      <c r="M40">
        <f t="shared" si="31"/>
        <v>0</v>
      </c>
      <c r="N40">
        <f t="shared" si="32"/>
        <v>0</v>
      </c>
      <c r="O40" s="1">
        <f t="shared" si="33"/>
        <v>0</v>
      </c>
      <c r="P40">
        <f t="shared" si="34"/>
        <v>0</v>
      </c>
      <c r="Q40">
        <f t="shared" si="35"/>
        <v>0</v>
      </c>
      <c r="R40" s="1">
        <f t="shared" si="36"/>
        <v>0</v>
      </c>
      <c r="S40">
        <f t="shared" si="37"/>
        <v>0</v>
      </c>
      <c r="T40">
        <f t="shared" si="38"/>
        <v>0</v>
      </c>
      <c r="X40">
        <f t="shared" si="39"/>
        <v>0</v>
      </c>
      <c r="Y40">
        <f t="shared" si="40"/>
        <v>0</v>
      </c>
      <c r="AA40" t="str">
        <f t="shared" ref="AA40" si="43">CONCATENATE(I40," &amp; ",K40, " &amp; ", ROUND(L40,2), " &amp; ", M40, " &amp; ", N40, " &amp; ",  ROUND(O40,2), " &amp; ", P40, " &amp; ", Q40, " &amp; ", ROUND(R40,2), " &amp; ", S40, " &amp; ", T40,  "\\")</f>
        <v>pard300_9 &amp; 300 &amp; 0 &amp; 0 &amp; 0 &amp; 0 &amp; 0 &amp; 0 &amp; 0 &amp; 0 &amp; 0\\</v>
      </c>
    </row>
    <row r="41" spans="1:27" x14ac:dyDescent="0.2">
      <c r="A41" t="s">
        <v>31</v>
      </c>
      <c r="B41">
        <v>10</v>
      </c>
      <c r="C41" t="s">
        <v>21</v>
      </c>
      <c r="D41" t="s">
        <v>58</v>
      </c>
      <c r="E41">
        <v>2.3178639411926198</v>
      </c>
      <c r="F41">
        <v>1638</v>
      </c>
      <c r="G41">
        <v>46</v>
      </c>
      <c r="I41" t="str">
        <f>CONCATENATE($K$1,"9")</f>
        <v>pard300_9</v>
      </c>
      <c r="J41">
        <v>300</v>
      </c>
      <c r="K41">
        <v>300</v>
      </c>
      <c r="L41" s="1">
        <f t="shared" si="30"/>
        <v>0</v>
      </c>
      <c r="M41">
        <f t="shared" si="31"/>
        <v>0</v>
      </c>
      <c r="N41">
        <f t="shared" si="32"/>
        <v>0</v>
      </c>
      <c r="O41" s="1">
        <f t="shared" si="33"/>
        <v>0</v>
      </c>
      <c r="P41">
        <f t="shared" si="34"/>
        <v>0</v>
      </c>
      <c r="Q41">
        <f t="shared" si="35"/>
        <v>0</v>
      </c>
      <c r="R41" s="1">
        <f t="shared" si="36"/>
        <v>0</v>
      </c>
      <c r="S41">
        <f t="shared" si="37"/>
        <v>0</v>
      </c>
      <c r="T41">
        <f t="shared" si="38"/>
        <v>0</v>
      </c>
      <c r="X41">
        <f t="shared" si="39"/>
        <v>0</v>
      </c>
      <c r="Y41">
        <f t="shared" si="40"/>
        <v>0</v>
      </c>
      <c r="AA41" t="str">
        <f>CONCATENATE(I41," &amp; ","nc", " &amp; ", ROUND(L41,2), " &amp; ", M41, " &amp; ", N41, " &amp; ",  ROUND(O41,2), " &amp; ", P41, " &amp; ", Q41, " &amp; ", ROUND(R41,2), " &amp; ", S41, " &amp; ", T41,  "\\")</f>
        <v>pard300_9 &amp; nc &amp; 0 &amp; 0 &amp; 0 &amp; 0 &amp; 0 &amp; 0 &amp; 0 &amp; 0 &amp; 0\\</v>
      </c>
    </row>
    <row r="42" spans="1:27" x14ac:dyDescent="0.2">
      <c r="A42" t="s">
        <v>0</v>
      </c>
      <c r="B42" t="s">
        <v>14</v>
      </c>
      <c r="C42" t="s">
        <v>15</v>
      </c>
      <c r="D42" t="s">
        <v>16</v>
      </c>
      <c r="E42" t="s">
        <v>17</v>
      </c>
      <c r="F42" t="s">
        <v>18</v>
      </c>
      <c r="G42" t="s">
        <v>19</v>
      </c>
      <c r="I42" t="str">
        <f>CONCATENATE($K$1,"10")</f>
        <v>pard300_10</v>
      </c>
      <c r="J42">
        <v>300</v>
      </c>
      <c r="K42">
        <v>10</v>
      </c>
      <c r="L42" s="1">
        <f t="shared" si="30"/>
        <v>0</v>
      </c>
      <c r="M42">
        <f t="shared" si="31"/>
        <v>0</v>
      </c>
      <c r="N42">
        <f t="shared" si="32"/>
        <v>0</v>
      </c>
      <c r="O42" s="1">
        <f t="shared" si="33"/>
        <v>0</v>
      </c>
      <c r="P42">
        <f t="shared" si="34"/>
        <v>0</v>
      </c>
      <c r="Q42">
        <f t="shared" si="35"/>
        <v>0</v>
      </c>
      <c r="R42" s="1">
        <f t="shared" si="36"/>
        <v>0</v>
      </c>
      <c r="S42">
        <f t="shared" si="37"/>
        <v>0</v>
      </c>
      <c r="T42">
        <f t="shared" si="38"/>
        <v>0</v>
      </c>
      <c r="X42">
        <f t="shared" si="39"/>
        <v>0</v>
      </c>
      <c r="Y42">
        <f t="shared" si="40"/>
        <v>0</v>
      </c>
      <c r="AA42" t="str">
        <f t="shared" ref="AA42" si="44">CONCATENATE(I42," &amp; ",K42, " &amp; ", ROUND(L42,2), " &amp; ", M42, " &amp; ", N42, " &amp; ",  ROUND(O42,2), " &amp; ", P42, " &amp; ", Q42, " &amp; ", ROUND(R42,2), " &amp; ", S42, " &amp; ", T42,  "\\")</f>
        <v>pard300_10 &amp; 10 &amp; 0 &amp; 0 &amp; 0 &amp; 0 &amp; 0 &amp; 0 &amp; 0 &amp; 0 &amp; 0\\</v>
      </c>
    </row>
    <row r="43" spans="1:27" x14ac:dyDescent="0.2">
      <c r="A43" t="s">
        <v>31</v>
      </c>
      <c r="B43">
        <v>10</v>
      </c>
      <c r="C43" t="s">
        <v>21</v>
      </c>
      <c r="D43" t="s">
        <v>59</v>
      </c>
      <c r="E43">
        <v>20.192118883132899</v>
      </c>
      <c r="F43">
        <v>1716</v>
      </c>
      <c r="G43">
        <v>45</v>
      </c>
      <c r="I43" t="str">
        <f>CONCATENATE($K$1,"10")</f>
        <v>pard300_10</v>
      </c>
      <c r="J43">
        <v>300</v>
      </c>
      <c r="K43">
        <v>300</v>
      </c>
      <c r="L43" s="1">
        <f t="shared" si="30"/>
        <v>0</v>
      </c>
      <c r="M43">
        <f t="shared" si="31"/>
        <v>0</v>
      </c>
      <c r="N43">
        <f t="shared" si="32"/>
        <v>0</v>
      </c>
      <c r="O43" s="1">
        <f t="shared" si="33"/>
        <v>0</v>
      </c>
      <c r="P43">
        <f t="shared" si="34"/>
        <v>0</v>
      </c>
      <c r="Q43">
        <f t="shared" si="35"/>
        <v>0</v>
      </c>
      <c r="R43" s="1">
        <f t="shared" si="36"/>
        <v>0</v>
      </c>
      <c r="S43">
        <f t="shared" si="37"/>
        <v>0</v>
      </c>
      <c r="T43">
        <f t="shared" si="38"/>
        <v>0</v>
      </c>
      <c r="X43">
        <f t="shared" si="39"/>
        <v>0</v>
      </c>
      <c r="Y43">
        <f t="shared" si="40"/>
        <v>0</v>
      </c>
      <c r="AA43" t="str">
        <f>CONCATENATE(I43," &amp; ","nc", " &amp; ", ROUND(L43,2), " &amp; ", M43, " &amp; ", N43, " &amp; ",  ROUND(O43,2), " &amp; ", P43, " &amp; ", Q43, " &amp; ", ROUND(R43,2), " &amp; ", S43, " &amp; ", T43,  "\\")</f>
        <v>pard300_10 &amp; nc &amp; 0 &amp; 0 &amp; 0 &amp; 0 &amp; 0 &amp; 0 &amp; 0 &amp; 0 &amp; 0\\</v>
      </c>
    </row>
    <row r="44" spans="1:27" x14ac:dyDescent="0.2">
      <c r="A44" t="s">
        <v>0</v>
      </c>
      <c r="B44" t="s">
        <v>14</v>
      </c>
      <c r="C44" t="s">
        <v>15</v>
      </c>
      <c r="D44" t="s">
        <v>16</v>
      </c>
      <c r="E44" t="s">
        <v>17</v>
      </c>
      <c r="F44" t="s">
        <v>18</v>
      </c>
      <c r="G44" t="s">
        <v>19</v>
      </c>
      <c r="I44" t="str">
        <f>CONCATENATE($L$1,"1")</f>
        <v>pard400_1</v>
      </c>
      <c r="J44">
        <v>400</v>
      </c>
      <c r="K44">
        <v>10</v>
      </c>
      <c r="L44" s="1">
        <f t="shared" si="30"/>
        <v>600.00985813140801</v>
      </c>
      <c r="M44">
        <f t="shared" si="31"/>
        <v>416269</v>
      </c>
      <c r="N44">
        <f t="shared" si="32"/>
        <v>3214</v>
      </c>
      <c r="O44" s="1">
        <f t="shared" si="33"/>
        <v>600.00692796707096</v>
      </c>
      <c r="P44">
        <f t="shared" si="34"/>
        <v>275500</v>
      </c>
      <c r="Q44">
        <f t="shared" si="35"/>
        <v>1395</v>
      </c>
      <c r="R44" s="1">
        <f t="shared" si="36"/>
        <v>600.01081514358498</v>
      </c>
      <c r="S44">
        <f t="shared" si="37"/>
        <v>207000</v>
      </c>
      <c r="T44">
        <f t="shared" si="38"/>
        <v>1202</v>
      </c>
      <c r="X44">
        <f t="shared" si="39"/>
        <v>1</v>
      </c>
      <c r="Y44">
        <f t="shared" si="40"/>
        <v>0</v>
      </c>
      <c r="AA44" t="str">
        <f t="shared" ref="AA44" si="45">CONCATENATE(I44," &amp; ",K44, " &amp; ", ROUND(L44,2), " &amp; ", M44, " &amp; ", N44, " &amp; ",  ROUND(O44,2), " &amp; ", P44, " &amp; ", Q44, " &amp; ", ROUND(R44,2), " &amp; ", S44, " &amp; ", T44,  "\\")</f>
        <v>pard400_1 &amp; 10 &amp; 600.01 &amp; 416269 &amp; 3214 &amp; 600.01 &amp; 275500 &amp; 1395 &amp; 600.01 &amp; 207000 &amp; 1202\\</v>
      </c>
    </row>
    <row r="45" spans="1:27" x14ac:dyDescent="0.2">
      <c r="A45" t="s">
        <v>32</v>
      </c>
      <c r="B45">
        <v>10</v>
      </c>
      <c r="C45" t="s">
        <v>21</v>
      </c>
      <c r="D45" t="s">
        <v>1</v>
      </c>
      <c r="E45">
        <v>589.68233418464604</v>
      </c>
      <c r="F45">
        <v>576133</v>
      </c>
      <c r="G45">
        <v>1756</v>
      </c>
      <c r="I45" t="str">
        <f>CONCATENATE($L$1,"1")</f>
        <v>pard400_1</v>
      </c>
      <c r="J45">
        <v>400</v>
      </c>
      <c r="K45">
        <v>400</v>
      </c>
      <c r="L45" s="1">
        <f t="shared" si="30"/>
        <v>600.00350689888</v>
      </c>
      <c r="M45">
        <f t="shared" si="31"/>
        <v>717732</v>
      </c>
      <c r="N45">
        <f t="shared" si="32"/>
        <v>1000</v>
      </c>
      <c r="O45" s="1">
        <f t="shared" si="33"/>
        <v>0</v>
      </c>
      <c r="P45">
        <f t="shared" si="34"/>
        <v>0</v>
      </c>
      <c r="Q45">
        <f t="shared" si="35"/>
        <v>0</v>
      </c>
      <c r="R45" s="1">
        <f t="shared" si="36"/>
        <v>0</v>
      </c>
      <c r="S45">
        <f t="shared" si="37"/>
        <v>0</v>
      </c>
      <c r="T45">
        <f t="shared" si="38"/>
        <v>0</v>
      </c>
      <c r="X45">
        <f t="shared" si="39"/>
        <v>1</v>
      </c>
      <c r="Y45">
        <f t="shared" si="40"/>
        <v>0</v>
      </c>
      <c r="AA45" t="str">
        <f>CONCATENATE(I45," &amp; ","nc", " &amp; ", ROUND(L45,2), " &amp; ", M45, " &amp; ", N45, " &amp; ",  ROUND(O45,2), " &amp; ", P45, " &amp; ", Q45, " &amp; ", ROUND(R45,2), " &amp; ", S45, " &amp; ", T45,  "\\")</f>
        <v>pard400_1 &amp; nc &amp; 600 &amp; 717732 &amp; 1000 &amp; 0 &amp; 0 &amp; 0 &amp; 0 &amp; 0 &amp; 0\\</v>
      </c>
    </row>
    <row r="46" spans="1:27" x14ac:dyDescent="0.2">
      <c r="A46" t="s">
        <v>0</v>
      </c>
      <c r="B46" t="s">
        <v>14</v>
      </c>
      <c r="C46" t="s">
        <v>15</v>
      </c>
      <c r="D46" t="s">
        <v>16</v>
      </c>
      <c r="E46" t="s">
        <v>17</v>
      </c>
      <c r="F46" t="s">
        <v>18</v>
      </c>
      <c r="G46" t="s">
        <v>19</v>
      </c>
      <c r="I46" t="str">
        <f>CONCATENATE($L$1,"2")</f>
        <v>pard400_2</v>
      </c>
      <c r="J46">
        <v>400</v>
      </c>
      <c r="K46">
        <v>10</v>
      </c>
      <c r="L46" s="1">
        <f t="shared" si="30"/>
        <v>13.1446018218994</v>
      </c>
      <c r="M46">
        <f t="shared" si="31"/>
        <v>29337</v>
      </c>
      <c r="N46">
        <f t="shared" si="32"/>
        <v>444</v>
      </c>
      <c r="O46" s="1">
        <f t="shared" si="33"/>
        <v>0.30203413963317799</v>
      </c>
      <c r="P46">
        <f t="shared" si="34"/>
        <v>105</v>
      </c>
      <c r="Q46">
        <f t="shared" si="35"/>
        <v>9</v>
      </c>
      <c r="R46" s="1">
        <f t="shared" si="36"/>
        <v>13.630568027496301</v>
      </c>
      <c r="S46">
        <f t="shared" si="37"/>
        <v>105</v>
      </c>
      <c r="T46">
        <f t="shared" si="38"/>
        <v>7</v>
      </c>
      <c r="X46">
        <f t="shared" si="39"/>
        <v>1</v>
      </c>
      <c r="Y46">
        <f t="shared" si="40"/>
        <v>0</v>
      </c>
      <c r="AA46" t="str">
        <f t="shared" ref="AA46" si="46">CONCATENATE(I46," &amp; ",K46, " &amp; ", ROUND(L46,2), " &amp; ", M46, " &amp; ", N46, " &amp; ",  ROUND(O46,2), " &amp; ", P46, " &amp; ", Q46, " &amp; ", ROUND(R46,2), " &amp; ", S46, " &amp; ", T46,  "\\")</f>
        <v>pard400_2 &amp; 10 &amp; 13.14 &amp; 29337 &amp; 444 &amp; 0.3 &amp; 105 &amp; 9 &amp; 13.63 &amp; 105 &amp; 7\\</v>
      </c>
    </row>
    <row r="47" spans="1:27" x14ac:dyDescent="0.2">
      <c r="A47" t="s">
        <v>32</v>
      </c>
      <c r="B47">
        <v>10</v>
      </c>
      <c r="C47" t="s">
        <v>21</v>
      </c>
      <c r="D47" t="s">
        <v>58</v>
      </c>
      <c r="E47">
        <v>6.3090260028839102</v>
      </c>
      <c r="F47">
        <v>8746</v>
      </c>
      <c r="G47">
        <v>122</v>
      </c>
      <c r="I47" t="str">
        <f t="shared" ref="I47" si="47">CONCATENATE($L$1,"2")</f>
        <v>pard400_2</v>
      </c>
      <c r="J47">
        <v>400</v>
      </c>
      <c r="K47">
        <v>400</v>
      </c>
      <c r="L47" s="1">
        <f t="shared" si="30"/>
        <v>0</v>
      </c>
      <c r="M47">
        <f t="shared" si="31"/>
        <v>0</v>
      </c>
      <c r="N47">
        <f t="shared" si="32"/>
        <v>0</v>
      </c>
      <c r="O47" s="1">
        <f t="shared" si="33"/>
        <v>0</v>
      </c>
      <c r="P47">
        <f t="shared" si="34"/>
        <v>0</v>
      </c>
      <c r="Q47">
        <f t="shared" si="35"/>
        <v>0</v>
      </c>
      <c r="R47" s="1">
        <f t="shared" si="36"/>
        <v>0</v>
      </c>
      <c r="S47">
        <f t="shared" si="37"/>
        <v>0</v>
      </c>
      <c r="T47">
        <f t="shared" si="38"/>
        <v>0</v>
      </c>
      <c r="X47">
        <f t="shared" si="39"/>
        <v>0</v>
      </c>
      <c r="Y47">
        <f t="shared" si="40"/>
        <v>0</v>
      </c>
      <c r="AA47" t="str">
        <f>CONCATENATE(I47," &amp; ","nc", " &amp; ", ROUND(L47,2), " &amp; ", M47, " &amp; ", N47, " &amp; ",  ROUND(O47,2), " &amp; ", P47, " &amp; ", Q47, " &amp; ", ROUND(R47,2), " &amp; ", S47, " &amp; ", T47,  "\\")</f>
        <v>pard400_2 &amp; nc &amp; 0 &amp; 0 &amp; 0 &amp; 0 &amp; 0 &amp; 0 &amp; 0 &amp; 0 &amp; 0\\</v>
      </c>
    </row>
    <row r="48" spans="1:27" x14ac:dyDescent="0.2">
      <c r="A48" t="s">
        <v>0</v>
      </c>
      <c r="B48" t="s">
        <v>14</v>
      </c>
      <c r="C48" t="s">
        <v>15</v>
      </c>
      <c r="D48" t="s">
        <v>16</v>
      </c>
      <c r="E48" t="s">
        <v>17</v>
      </c>
      <c r="F48" t="s">
        <v>18</v>
      </c>
      <c r="G48" t="s">
        <v>19</v>
      </c>
      <c r="I48" t="str">
        <f>CONCATENATE($L$1,"3")</f>
        <v>pard400_3</v>
      </c>
      <c r="J48">
        <v>400</v>
      </c>
      <c r="K48">
        <v>10</v>
      </c>
      <c r="L48" s="1">
        <f t="shared" si="30"/>
        <v>600.00466895103398</v>
      </c>
      <c r="M48">
        <f t="shared" si="31"/>
        <v>573844</v>
      </c>
      <c r="N48">
        <f t="shared" si="32"/>
        <v>2286</v>
      </c>
      <c r="O48" s="1">
        <f t="shared" si="33"/>
        <v>600.00451707839898</v>
      </c>
      <c r="P48">
        <f t="shared" si="34"/>
        <v>428715</v>
      </c>
      <c r="Q48">
        <f t="shared" si="35"/>
        <v>1385</v>
      </c>
      <c r="R48" s="1">
        <f t="shared" si="36"/>
        <v>600.02132105827297</v>
      </c>
      <c r="S48">
        <f t="shared" si="37"/>
        <v>255900</v>
      </c>
      <c r="T48">
        <f t="shared" si="38"/>
        <v>1133</v>
      </c>
      <c r="X48">
        <f t="shared" si="39"/>
        <v>1</v>
      </c>
      <c r="Y48">
        <f t="shared" si="40"/>
        <v>0</v>
      </c>
      <c r="AA48" t="str">
        <f t="shared" ref="AA48" si="48">CONCATENATE(I48," &amp; ",K48, " &amp; ", ROUND(L48,2), " &amp; ", M48, " &amp; ", N48, " &amp; ",  ROUND(O48,2), " &amp; ", P48, " &amp; ", Q48, " &amp; ", ROUND(R48,2), " &amp; ", S48, " &amp; ", T48,  "\\")</f>
        <v>pard400_3 &amp; 10 &amp; 600 &amp; 573844 &amp; 2286 &amp; 600 &amp; 428715 &amp; 1385 &amp; 600.02 &amp; 255900 &amp; 1133\\</v>
      </c>
    </row>
    <row r="49" spans="1:27" x14ac:dyDescent="0.2">
      <c r="A49" t="s">
        <v>32</v>
      </c>
      <c r="B49">
        <v>10</v>
      </c>
      <c r="C49" t="s">
        <v>21</v>
      </c>
      <c r="D49" t="s">
        <v>59</v>
      </c>
      <c r="E49">
        <v>26.533160924911499</v>
      </c>
      <c r="F49">
        <v>8290</v>
      </c>
      <c r="G49">
        <v>143</v>
      </c>
      <c r="I49" t="str">
        <f>CONCATENATE($L$1,"3")</f>
        <v>pard400_3</v>
      </c>
      <c r="J49">
        <v>400</v>
      </c>
      <c r="K49">
        <v>400</v>
      </c>
      <c r="L49" s="1">
        <f t="shared" si="30"/>
        <v>0</v>
      </c>
      <c r="M49">
        <f t="shared" si="31"/>
        <v>0</v>
      </c>
      <c r="N49">
        <f t="shared" si="32"/>
        <v>0</v>
      </c>
      <c r="O49" s="1">
        <f t="shared" si="33"/>
        <v>0</v>
      </c>
      <c r="P49">
        <f t="shared" si="34"/>
        <v>0</v>
      </c>
      <c r="Q49">
        <f t="shared" si="35"/>
        <v>0</v>
      </c>
      <c r="R49" s="1">
        <f t="shared" si="36"/>
        <v>0</v>
      </c>
      <c r="S49">
        <f t="shared" si="37"/>
        <v>0</v>
      </c>
      <c r="T49">
        <f t="shared" si="38"/>
        <v>0</v>
      </c>
      <c r="X49">
        <f t="shared" si="39"/>
        <v>0</v>
      </c>
      <c r="Y49">
        <f t="shared" si="40"/>
        <v>0</v>
      </c>
      <c r="AA49" t="str">
        <f>CONCATENATE(I49," &amp; ","nc", " &amp; ", ROUND(L49,2), " &amp; ", M49, " &amp; ", N49, " &amp; ",  ROUND(O49,2), " &amp; ", P49, " &amp; ", Q49, " &amp; ", ROUND(R49,2), " &amp; ", S49, " &amp; ", T49,  "\\")</f>
        <v>pard400_3 &amp; nc &amp; 0 &amp; 0 &amp; 0 &amp; 0 &amp; 0 &amp; 0 &amp; 0 &amp; 0 &amp; 0\\</v>
      </c>
    </row>
    <row r="50" spans="1:27" x14ac:dyDescent="0.2">
      <c r="A50" t="s">
        <v>0</v>
      </c>
      <c r="B50" t="s">
        <v>14</v>
      </c>
      <c r="C50" t="s">
        <v>15</v>
      </c>
      <c r="D50" t="s">
        <v>16</v>
      </c>
      <c r="E50" t="s">
        <v>17</v>
      </c>
      <c r="F50" t="s">
        <v>18</v>
      </c>
      <c r="G50" t="s">
        <v>19</v>
      </c>
      <c r="I50" t="str">
        <f>CONCATENATE($L$1,"4")</f>
        <v>pard400_4</v>
      </c>
      <c r="J50">
        <v>400</v>
      </c>
      <c r="K50">
        <v>10</v>
      </c>
      <c r="L50" s="1">
        <f t="shared" si="30"/>
        <v>600.02458000183105</v>
      </c>
      <c r="M50">
        <f t="shared" si="31"/>
        <v>479500</v>
      </c>
      <c r="N50">
        <f t="shared" si="32"/>
        <v>3467</v>
      </c>
      <c r="O50" s="1">
        <f t="shared" si="33"/>
        <v>600.00395417213394</v>
      </c>
      <c r="P50">
        <f t="shared" si="34"/>
        <v>265161</v>
      </c>
      <c r="Q50">
        <f t="shared" si="35"/>
        <v>1928</v>
      </c>
      <c r="R50" s="1">
        <f t="shared" si="36"/>
        <v>600.01607084274201</v>
      </c>
      <c r="S50">
        <f t="shared" si="37"/>
        <v>220900</v>
      </c>
      <c r="T50">
        <f t="shared" si="38"/>
        <v>1992</v>
      </c>
      <c r="X50">
        <f t="shared" si="39"/>
        <v>1</v>
      </c>
      <c r="Y50">
        <f t="shared" si="40"/>
        <v>0</v>
      </c>
      <c r="AA50" t="str">
        <f t="shared" ref="AA50" si="49">CONCATENATE(I50," &amp; ",K50, " &amp; ", ROUND(L50,2), " &amp; ", M50, " &amp; ", N50, " &amp; ",  ROUND(O50,2), " &amp; ", P50, " &amp; ", Q50, " &amp; ", ROUND(R50,2), " &amp; ", S50, " &amp; ", T50,  "\\")</f>
        <v>pard400_4 &amp; 10 &amp; 600.02 &amp; 479500 &amp; 3467 &amp; 600 &amp; 265161 &amp; 1928 &amp; 600.02 &amp; 220900 &amp; 1992\\</v>
      </c>
    </row>
    <row r="51" spans="1:27" x14ac:dyDescent="0.2">
      <c r="A51" t="s">
        <v>33</v>
      </c>
      <c r="B51">
        <v>10</v>
      </c>
      <c r="C51" t="s">
        <v>21</v>
      </c>
      <c r="D51" t="s">
        <v>1</v>
      </c>
      <c r="E51">
        <v>600.00914502143803</v>
      </c>
      <c r="F51">
        <v>416219</v>
      </c>
      <c r="G51">
        <v>3798</v>
      </c>
      <c r="I51" t="str">
        <f>CONCATENATE($L$1,"4")</f>
        <v>pard400_4</v>
      </c>
      <c r="J51">
        <v>400</v>
      </c>
      <c r="K51">
        <v>400</v>
      </c>
      <c r="L51" s="1">
        <f t="shared" si="30"/>
        <v>0</v>
      </c>
      <c r="M51">
        <f t="shared" si="31"/>
        <v>0</v>
      </c>
      <c r="N51">
        <f t="shared" si="32"/>
        <v>0</v>
      </c>
      <c r="O51" s="1">
        <f t="shared" si="33"/>
        <v>0</v>
      </c>
      <c r="P51">
        <f t="shared" si="34"/>
        <v>0</v>
      </c>
      <c r="Q51">
        <f t="shared" si="35"/>
        <v>0</v>
      </c>
      <c r="R51" s="1">
        <f t="shared" si="36"/>
        <v>0</v>
      </c>
      <c r="S51">
        <f t="shared" si="37"/>
        <v>0</v>
      </c>
      <c r="T51">
        <f t="shared" si="38"/>
        <v>0</v>
      </c>
      <c r="X51">
        <f t="shared" si="39"/>
        <v>0</v>
      </c>
      <c r="Y51">
        <f t="shared" si="40"/>
        <v>0</v>
      </c>
      <c r="AA51" t="str">
        <f>CONCATENATE(I51," &amp; ","nc", " &amp; ", ROUND(L51,2), " &amp; ", M51, " &amp; ", N51, " &amp; ",  ROUND(O51,2), " &amp; ", P51, " &amp; ", Q51, " &amp; ", ROUND(R51,2), " &amp; ", S51, " &amp; ", T51,  "\\")</f>
        <v>pard400_4 &amp; nc &amp; 0 &amp; 0 &amp; 0 &amp; 0 &amp; 0 &amp; 0 &amp; 0 &amp; 0 &amp; 0\\</v>
      </c>
    </row>
    <row r="52" spans="1:27" x14ac:dyDescent="0.2">
      <c r="A52" t="s">
        <v>0</v>
      </c>
      <c r="B52" t="s">
        <v>14</v>
      </c>
      <c r="C52" t="s">
        <v>15</v>
      </c>
      <c r="D52" t="s">
        <v>16</v>
      </c>
      <c r="E52" t="s">
        <v>17</v>
      </c>
      <c r="F52" t="s">
        <v>18</v>
      </c>
      <c r="G52" t="s">
        <v>19</v>
      </c>
      <c r="I52" t="str">
        <f>CONCATENATE($L$1,"5")</f>
        <v>pard400_5</v>
      </c>
      <c r="J52">
        <v>400</v>
      </c>
      <c r="K52">
        <v>10</v>
      </c>
      <c r="L52" s="1">
        <f t="shared" si="30"/>
        <v>600.00962686538696</v>
      </c>
      <c r="M52">
        <f t="shared" si="31"/>
        <v>338804</v>
      </c>
      <c r="N52">
        <f t="shared" si="32"/>
        <v>3596</v>
      </c>
      <c r="O52" s="1">
        <f t="shared" si="33"/>
        <v>600.01722812652497</v>
      </c>
      <c r="P52">
        <f t="shared" si="34"/>
        <v>241900</v>
      </c>
      <c r="Q52">
        <f t="shared" si="35"/>
        <v>2588</v>
      </c>
      <c r="R52" s="1">
        <f t="shared" si="36"/>
        <v>600.00668501853897</v>
      </c>
      <c r="S52">
        <f t="shared" si="37"/>
        <v>183702</v>
      </c>
      <c r="T52">
        <f t="shared" si="38"/>
        <v>1910</v>
      </c>
      <c r="X52">
        <f t="shared" si="39"/>
        <v>1</v>
      </c>
      <c r="Y52">
        <f t="shared" si="40"/>
        <v>0</v>
      </c>
      <c r="AA52" t="str">
        <f t="shared" ref="AA52" si="50">CONCATENATE(I52," &amp; ",K52, " &amp; ", ROUND(L52,2), " &amp; ", M52, " &amp; ", N52, " &amp; ",  ROUND(O52,2), " &amp; ", P52, " &amp; ", Q52, " &amp; ", ROUND(R52,2), " &amp; ", S52, " &amp; ", T52,  "\\")</f>
        <v>pard400_5 &amp; 10 &amp; 600.01 &amp; 338804 &amp; 3596 &amp; 600.02 &amp; 241900 &amp; 2588 &amp; 600.01 &amp; 183702 &amp; 1910\\</v>
      </c>
    </row>
    <row r="53" spans="1:27" x14ac:dyDescent="0.2">
      <c r="A53" t="s">
        <v>33</v>
      </c>
      <c r="B53">
        <v>10</v>
      </c>
      <c r="C53" t="s">
        <v>21</v>
      </c>
      <c r="D53" t="s">
        <v>58</v>
      </c>
      <c r="E53">
        <v>288.36455297470002</v>
      </c>
      <c r="F53">
        <v>160308</v>
      </c>
      <c r="G53">
        <v>1070</v>
      </c>
      <c r="I53" t="str">
        <f>CONCATENATE($L$1,"5")</f>
        <v>pard400_5</v>
      </c>
      <c r="J53">
        <v>400</v>
      </c>
      <c r="K53">
        <v>400</v>
      </c>
      <c r="L53" s="1">
        <f t="shared" si="30"/>
        <v>0</v>
      </c>
      <c r="M53">
        <f t="shared" si="31"/>
        <v>0</v>
      </c>
      <c r="N53">
        <f t="shared" si="32"/>
        <v>0</v>
      </c>
      <c r="O53" s="1">
        <f t="shared" si="33"/>
        <v>0</v>
      </c>
      <c r="P53">
        <f t="shared" si="34"/>
        <v>0</v>
      </c>
      <c r="Q53">
        <f t="shared" si="35"/>
        <v>0</v>
      </c>
      <c r="R53" s="1">
        <f t="shared" si="36"/>
        <v>0</v>
      </c>
      <c r="S53">
        <f t="shared" si="37"/>
        <v>0</v>
      </c>
      <c r="T53">
        <f t="shared" si="38"/>
        <v>0</v>
      </c>
      <c r="X53">
        <f t="shared" si="39"/>
        <v>0</v>
      </c>
      <c r="Y53">
        <f t="shared" si="40"/>
        <v>0</v>
      </c>
      <c r="AA53" t="str">
        <f>CONCATENATE(I53," &amp; ","nc", " &amp; ", ROUND(L53,2), " &amp; ", M53, " &amp; ", N53, " &amp; ",  ROUND(O53,2), " &amp; ", P53, " &amp; ", Q53, " &amp; ", ROUND(R53,2), " &amp; ", S53, " &amp; ", T53,  "\\")</f>
        <v>pard400_5 &amp; nc &amp; 0 &amp; 0 &amp; 0 &amp; 0 &amp; 0 &amp; 0 &amp; 0 &amp; 0 &amp; 0\\</v>
      </c>
    </row>
    <row r="54" spans="1:27" x14ac:dyDescent="0.2">
      <c r="A54" t="s">
        <v>0</v>
      </c>
      <c r="B54" t="s">
        <v>14</v>
      </c>
      <c r="C54" t="s">
        <v>15</v>
      </c>
      <c r="D54" t="s">
        <v>16</v>
      </c>
      <c r="E54" t="s">
        <v>17</v>
      </c>
      <c r="F54" t="s">
        <v>18</v>
      </c>
      <c r="G54" t="s">
        <v>19</v>
      </c>
      <c r="I54" t="str">
        <f>CONCATENATE($L$1,"6")</f>
        <v>pard400_6</v>
      </c>
      <c r="J54">
        <v>400</v>
      </c>
      <c r="K54">
        <v>10</v>
      </c>
      <c r="L54" s="1">
        <f t="shared" si="30"/>
        <v>274.92033505439701</v>
      </c>
      <c r="M54">
        <f t="shared" si="31"/>
        <v>279172</v>
      </c>
      <c r="N54">
        <f t="shared" si="32"/>
        <v>1381</v>
      </c>
      <c r="O54" s="1">
        <f t="shared" si="33"/>
        <v>177.003520965576</v>
      </c>
      <c r="P54">
        <f t="shared" si="34"/>
        <v>133468</v>
      </c>
      <c r="Q54">
        <f t="shared" si="35"/>
        <v>869</v>
      </c>
      <c r="R54" s="1">
        <f t="shared" si="36"/>
        <v>157.04078793525599</v>
      </c>
      <c r="S54">
        <f t="shared" si="37"/>
        <v>77998</v>
      </c>
      <c r="T54">
        <f t="shared" si="38"/>
        <v>398</v>
      </c>
      <c r="X54">
        <f t="shared" si="39"/>
        <v>1</v>
      </c>
      <c r="Y54">
        <f t="shared" si="40"/>
        <v>0</v>
      </c>
      <c r="AA54" t="str">
        <f t="shared" ref="AA54" si="51">CONCATENATE(I54," &amp; ",K54, " &amp; ", ROUND(L54,2), " &amp; ", M54, " &amp; ", N54, " &amp; ",  ROUND(O54,2), " &amp; ", P54, " &amp; ", Q54, " &amp; ", ROUND(R54,2), " &amp; ", S54, " &amp; ", T54,  "\\")</f>
        <v>pard400_6 &amp; 10 &amp; 274.92 &amp; 279172 &amp; 1381 &amp; 177 &amp; 133468 &amp; 869 &amp; 157.04 &amp; 77998 &amp; 398\\</v>
      </c>
    </row>
    <row r="55" spans="1:27" x14ac:dyDescent="0.2">
      <c r="A55" t="s">
        <v>33</v>
      </c>
      <c r="B55">
        <v>10</v>
      </c>
      <c r="C55" t="s">
        <v>21</v>
      </c>
      <c r="D55" t="s">
        <v>59</v>
      </c>
      <c r="E55">
        <v>421.96607208251902</v>
      </c>
      <c r="F55">
        <v>192797</v>
      </c>
      <c r="G55">
        <v>1002</v>
      </c>
      <c r="I55" t="str">
        <f>CONCATENATE($L$1,"6")</f>
        <v>pard400_6</v>
      </c>
      <c r="J55">
        <v>400</v>
      </c>
      <c r="K55">
        <v>400</v>
      </c>
      <c r="L55" s="1">
        <f t="shared" si="30"/>
        <v>0</v>
      </c>
      <c r="M55">
        <f t="shared" si="31"/>
        <v>0</v>
      </c>
      <c r="N55">
        <f t="shared" si="32"/>
        <v>0</v>
      </c>
      <c r="O55" s="1">
        <f t="shared" si="33"/>
        <v>0</v>
      </c>
      <c r="P55">
        <f t="shared" si="34"/>
        <v>0</v>
      </c>
      <c r="Q55">
        <f t="shared" si="35"/>
        <v>0</v>
      </c>
      <c r="R55" s="1">
        <f t="shared" si="36"/>
        <v>0</v>
      </c>
      <c r="S55">
        <f t="shared" si="37"/>
        <v>0</v>
      </c>
      <c r="T55">
        <f t="shared" si="38"/>
        <v>0</v>
      </c>
      <c r="X55">
        <f t="shared" si="39"/>
        <v>0</v>
      </c>
      <c r="Y55">
        <f t="shared" si="40"/>
        <v>0</v>
      </c>
      <c r="AA55" t="str">
        <f>CONCATENATE(I55," &amp; ","nc", " &amp; ", ROUND(L55,2), " &amp; ", M55, " &amp; ", N55, " &amp; ",  ROUND(O55,2), " &amp; ", P55, " &amp; ", Q55, " &amp; ", ROUND(R55,2), " &amp; ", S55, " &amp; ", T55,  "\\")</f>
        <v>pard400_6 &amp; nc &amp; 0 &amp; 0 &amp; 0 &amp; 0 &amp; 0 &amp; 0 &amp; 0 &amp; 0 &amp; 0\\</v>
      </c>
    </row>
    <row r="56" spans="1:27" x14ac:dyDescent="0.2">
      <c r="A56" s="7" t="s">
        <v>20</v>
      </c>
      <c r="B56" s="7">
        <v>200</v>
      </c>
      <c r="C56" s="7" t="s">
        <v>21</v>
      </c>
      <c r="D56" s="7" t="s">
        <v>1</v>
      </c>
      <c r="E56" s="7">
        <v>600.00226999999995</v>
      </c>
      <c r="F56" s="7">
        <v>887423</v>
      </c>
      <c r="G56" s="7">
        <v>1386</v>
      </c>
      <c r="I56" t="str">
        <f>CONCATENATE($L$1,"7")</f>
        <v>pard400_7</v>
      </c>
      <c r="J56">
        <v>400</v>
      </c>
      <c r="K56">
        <v>10</v>
      </c>
      <c r="L56" s="1">
        <f t="shared" si="30"/>
        <v>600.00721120834305</v>
      </c>
      <c r="M56">
        <f t="shared" si="31"/>
        <v>251526</v>
      </c>
      <c r="N56">
        <f t="shared" si="32"/>
        <v>3325</v>
      </c>
      <c r="O56" s="1">
        <f t="shared" si="33"/>
        <v>272.15418696403498</v>
      </c>
      <c r="P56">
        <f t="shared" si="34"/>
        <v>174833</v>
      </c>
      <c r="Q56">
        <f t="shared" si="35"/>
        <v>862</v>
      </c>
      <c r="R56" s="1">
        <f t="shared" si="36"/>
        <v>342.34794497489901</v>
      </c>
      <c r="S56">
        <f t="shared" si="37"/>
        <v>150985</v>
      </c>
      <c r="T56">
        <f t="shared" si="38"/>
        <v>680</v>
      </c>
      <c r="X56">
        <f t="shared" si="39"/>
        <v>1</v>
      </c>
      <c r="Y56">
        <f t="shared" si="40"/>
        <v>0</v>
      </c>
      <c r="AA56" t="str">
        <f t="shared" ref="AA56" si="52">CONCATENATE(I56," &amp; ",K56, " &amp; ", ROUND(L56,2), " &amp; ", M56, " &amp; ", N56, " &amp; ",  ROUND(O56,2), " &amp; ", P56, " &amp; ", Q56, " &amp; ", ROUND(R56,2), " &amp; ", S56, " &amp; ", T56,  "\\")</f>
        <v>pard400_7 &amp; 10 &amp; 600.01 &amp; 251526 &amp; 3325 &amp; 272.15 &amp; 174833 &amp; 862 &amp; 342.35 &amp; 150985 &amp; 680\\</v>
      </c>
    </row>
    <row r="57" spans="1:27" x14ac:dyDescent="0.2">
      <c r="A57" t="s">
        <v>20</v>
      </c>
      <c r="B57">
        <v>200</v>
      </c>
      <c r="C57" t="s">
        <v>21</v>
      </c>
      <c r="D57" t="s">
        <v>58</v>
      </c>
      <c r="E57">
        <v>600.00739999999996</v>
      </c>
      <c r="F57">
        <v>539900</v>
      </c>
      <c r="G57">
        <v>1070</v>
      </c>
      <c r="I57" t="str">
        <f>CONCATENATE($L$1,"7")</f>
        <v>pard400_7</v>
      </c>
      <c r="J57">
        <v>400</v>
      </c>
      <c r="K57">
        <v>400</v>
      </c>
      <c r="L57" s="1">
        <f t="shared" si="30"/>
        <v>0</v>
      </c>
      <c r="M57">
        <f t="shared" si="31"/>
        <v>0</v>
      </c>
      <c r="N57">
        <f t="shared" si="32"/>
        <v>0</v>
      </c>
      <c r="O57" s="1">
        <f t="shared" si="33"/>
        <v>0</v>
      </c>
      <c r="P57">
        <f t="shared" si="34"/>
        <v>0</v>
      </c>
      <c r="Q57">
        <f t="shared" si="35"/>
        <v>0</v>
      </c>
      <c r="R57" s="1">
        <f t="shared" si="36"/>
        <v>0</v>
      </c>
      <c r="S57">
        <f t="shared" si="37"/>
        <v>0</v>
      </c>
      <c r="T57">
        <f t="shared" si="38"/>
        <v>0</v>
      </c>
      <c r="X57">
        <f t="shared" si="39"/>
        <v>0</v>
      </c>
      <c r="Y57">
        <f t="shared" si="40"/>
        <v>0</v>
      </c>
      <c r="AA57" t="str">
        <f>CONCATENATE(I57," &amp; ","nc", " &amp; ", ROUND(L57,2), " &amp; ", M57, " &amp; ", N57, " &amp; ",  ROUND(O57,2), " &amp; ", P57, " &amp; ", Q57, " &amp; ", ROUND(R57,2), " &amp; ", S57, " &amp; ", T57,  "\\")</f>
        <v>pard400_7 &amp; nc &amp; 0 &amp; 0 &amp; 0 &amp; 0 &amp; 0 &amp; 0 &amp; 0 &amp; 0 &amp; 0\\</v>
      </c>
    </row>
    <row r="58" spans="1:27" x14ac:dyDescent="0.2">
      <c r="A58" t="s">
        <v>0</v>
      </c>
      <c r="B58" t="s">
        <v>14</v>
      </c>
      <c r="C58" t="s">
        <v>15</v>
      </c>
      <c r="D58" t="s">
        <v>16</v>
      </c>
      <c r="E58" t="s">
        <v>17</v>
      </c>
      <c r="F58" t="s">
        <v>18</v>
      </c>
      <c r="G58" t="s">
        <v>19</v>
      </c>
      <c r="I58" t="str">
        <f>CONCATENATE($L$1,"8")</f>
        <v>pard400_8</v>
      </c>
      <c r="J58">
        <v>400</v>
      </c>
      <c r="K58">
        <v>10</v>
      </c>
      <c r="L58" s="1">
        <f t="shared" si="30"/>
        <v>600.00984406471196</v>
      </c>
      <c r="M58">
        <f t="shared" si="31"/>
        <v>509385</v>
      </c>
      <c r="N58">
        <f t="shared" si="32"/>
        <v>2857</v>
      </c>
      <c r="O58" s="1">
        <f t="shared" si="33"/>
        <v>600.02183198928799</v>
      </c>
      <c r="P58">
        <f t="shared" si="34"/>
        <v>314800</v>
      </c>
      <c r="Q58">
        <f t="shared" si="35"/>
        <v>2630</v>
      </c>
      <c r="R58" s="1">
        <f t="shared" si="36"/>
        <v>600.02054905891396</v>
      </c>
      <c r="S58">
        <f t="shared" si="37"/>
        <v>201200</v>
      </c>
      <c r="T58">
        <f t="shared" si="38"/>
        <v>2306</v>
      </c>
      <c r="X58">
        <f t="shared" si="39"/>
        <v>1</v>
      </c>
      <c r="Y58">
        <f t="shared" si="40"/>
        <v>0</v>
      </c>
      <c r="AA58" t="str">
        <f t="shared" ref="AA58" si="53">CONCATENATE(I58," &amp; ",K58, " &amp; ", ROUND(L58,2), " &amp; ", M58, " &amp; ", N58, " &amp; ",  ROUND(O58,2), " &amp; ", P58, " &amp; ", Q58, " &amp; ", ROUND(R58,2), " &amp; ", S58, " &amp; ", T58,  "\\")</f>
        <v>pard400_8 &amp; 10 &amp; 600.01 &amp; 509385 &amp; 2857 &amp; 600.02 &amp; 314800 &amp; 2630 &amp; 600.02 &amp; 201200 &amp; 2306\\</v>
      </c>
    </row>
    <row r="59" spans="1:27" x14ac:dyDescent="0.2">
      <c r="A59" t="s">
        <v>20</v>
      </c>
      <c r="B59">
        <v>200</v>
      </c>
      <c r="C59" t="s">
        <v>21</v>
      </c>
      <c r="D59" t="s">
        <v>59</v>
      </c>
      <c r="E59">
        <v>600.00273489999995</v>
      </c>
      <c r="F59">
        <v>369471</v>
      </c>
      <c r="G59">
        <v>675</v>
      </c>
      <c r="I59" t="str">
        <f>CONCATENATE($L$1,"8")</f>
        <v>pard400_8</v>
      </c>
      <c r="J59">
        <v>400</v>
      </c>
      <c r="K59">
        <v>400</v>
      </c>
      <c r="L59" s="1">
        <f t="shared" si="30"/>
        <v>0</v>
      </c>
      <c r="M59">
        <f t="shared" si="31"/>
        <v>0</v>
      </c>
      <c r="N59">
        <f t="shared" si="32"/>
        <v>0</v>
      </c>
      <c r="O59" s="1">
        <f t="shared" si="33"/>
        <v>0</v>
      </c>
      <c r="P59">
        <f t="shared" si="34"/>
        <v>0</v>
      </c>
      <c r="Q59">
        <f t="shared" si="35"/>
        <v>0</v>
      </c>
      <c r="R59" s="1">
        <f t="shared" si="36"/>
        <v>0</v>
      </c>
      <c r="S59">
        <f t="shared" si="37"/>
        <v>0</v>
      </c>
      <c r="T59">
        <f t="shared" si="38"/>
        <v>0</v>
      </c>
      <c r="X59">
        <f t="shared" si="39"/>
        <v>0</v>
      </c>
      <c r="Y59">
        <f t="shared" si="40"/>
        <v>0</v>
      </c>
      <c r="AA59" t="str">
        <f>CONCATENATE(I59," &amp; ","nc", " &amp; ", ROUND(L59,2), " &amp; ", M59, " &amp; ", N59, " &amp; ",  ROUND(O59,2), " &amp; ", P59, " &amp; ", Q59, " &amp; ", ROUND(R59,2), " &amp; ", S59, " &amp; ", T59,  "\\")</f>
        <v>pard400_8 &amp; nc &amp; 0 &amp; 0 &amp; 0 &amp; 0 &amp; 0 &amp; 0 &amp; 0 &amp; 0 &amp; 0\\</v>
      </c>
    </row>
    <row r="60" spans="1:27" x14ac:dyDescent="0.2">
      <c r="A60" t="s">
        <v>0</v>
      </c>
      <c r="B60" t="s">
        <v>14</v>
      </c>
      <c r="C60" t="s">
        <v>15</v>
      </c>
      <c r="D60" t="s">
        <v>16</v>
      </c>
      <c r="E60" t="s">
        <v>17</v>
      </c>
      <c r="F60" t="s">
        <v>18</v>
      </c>
      <c r="G60" t="s">
        <v>19</v>
      </c>
      <c r="I60" t="str">
        <f>CONCATENATE($L$1,"9")</f>
        <v>pard400_9</v>
      </c>
      <c r="J60">
        <v>400</v>
      </c>
      <c r="K60">
        <v>10</v>
      </c>
      <c r="L60" s="1">
        <f t="shared" si="30"/>
        <v>600.00668811798096</v>
      </c>
      <c r="M60">
        <f t="shared" si="31"/>
        <v>506154</v>
      </c>
      <c r="N60">
        <f t="shared" si="32"/>
        <v>3969</v>
      </c>
      <c r="O60" s="1">
        <f t="shared" si="33"/>
        <v>600.01026320457402</v>
      </c>
      <c r="P60">
        <f t="shared" si="34"/>
        <v>301300</v>
      </c>
      <c r="Q60">
        <f t="shared" si="35"/>
        <v>851</v>
      </c>
      <c r="R60" s="1">
        <f t="shared" si="36"/>
        <v>600.00494790077198</v>
      </c>
      <c r="S60">
        <f t="shared" si="37"/>
        <v>204845</v>
      </c>
      <c r="T60">
        <f t="shared" si="38"/>
        <v>1034</v>
      </c>
      <c r="X60">
        <f t="shared" si="39"/>
        <v>1</v>
      </c>
      <c r="Y60">
        <f t="shared" si="40"/>
        <v>0</v>
      </c>
      <c r="AA60" t="str">
        <f t="shared" ref="AA60" si="54">CONCATENATE(I60," &amp; ",K60, " &amp; ", ROUND(L60,2), " &amp; ", M60, " &amp; ", N60, " &amp; ",  ROUND(O60,2), " &amp; ", P60, " &amp; ", Q60, " &amp; ", ROUND(R60,2), " &amp; ", S60, " &amp; ", T60,  "\\")</f>
        <v>pard400_9 &amp; 10 &amp; 600.01 &amp; 506154 &amp; 3969 &amp; 600.01 &amp; 301300 &amp; 851 &amp; 600 &amp; 204845 &amp; 1034\\</v>
      </c>
    </row>
    <row r="61" spans="1:27" x14ac:dyDescent="0.2">
      <c r="A61" t="s">
        <v>25</v>
      </c>
      <c r="B61">
        <v>200</v>
      </c>
      <c r="C61" t="s">
        <v>21</v>
      </c>
      <c r="D61" t="s">
        <v>1</v>
      </c>
      <c r="E61">
        <v>600.00220990000003</v>
      </c>
      <c r="F61">
        <v>995860</v>
      </c>
      <c r="G61">
        <v>823</v>
      </c>
      <c r="I61" t="str">
        <f>CONCATENATE($L$1,"9")</f>
        <v>pard400_9</v>
      </c>
      <c r="J61">
        <v>400</v>
      </c>
      <c r="K61">
        <v>400</v>
      </c>
      <c r="L61" s="1">
        <f t="shared" si="30"/>
        <v>0</v>
      </c>
      <c r="M61">
        <f t="shared" si="31"/>
        <v>0</v>
      </c>
      <c r="N61">
        <f t="shared" si="32"/>
        <v>0</v>
      </c>
      <c r="O61" s="1">
        <f t="shared" si="33"/>
        <v>0</v>
      </c>
      <c r="P61">
        <f t="shared" si="34"/>
        <v>0</v>
      </c>
      <c r="Q61">
        <f t="shared" si="35"/>
        <v>0</v>
      </c>
      <c r="R61" s="1">
        <f t="shared" si="36"/>
        <v>0</v>
      </c>
      <c r="S61">
        <f t="shared" si="37"/>
        <v>0</v>
      </c>
      <c r="T61">
        <f t="shared" si="38"/>
        <v>0</v>
      </c>
      <c r="X61">
        <f t="shared" si="39"/>
        <v>0</v>
      </c>
      <c r="Y61">
        <f t="shared" si="40"/>
        <v>0</v>
      </c>
      <c r="AA61" t="str">
        <f>CONCATENATE(I61," &amp; ","nc", " &amp; ", ROUND(L61,2), " &amp; ", M61, " &amp; ", N61, " &amp; ",  ROUND(O61,2), " &amp; ", P61, " &amp; ", Q61, " &amp; ", ROUND(R61,2), " &amp; ", S61, " &amp; ", T61,  "\\")</f>
        <v>pard400_9 &amp; nc &amp; 0 &amp; 0 &amp; 0 &amp; 0 &amp; 0 &amp; 0 &amp; 0 &amp; 0 &amp; 0\\</v>
      </c>
    </row>
    <row r="62" spans="1:27" x14ac:dyDescent="0.2">
      <c r="A62" t="s">
        <v>0</v>
      </c>
      <c r="B62" t="s">
        <v>14</v>
      </c>
      <c r="C62" t="s">
        <v>15</v>
      </c>
      <c r="D62" t="s">
        <v>16</v>
      </c>
      <c r="E62" t="s">
        <v>17</v>
      </c>
      <c r="F62" t="s">
        <v>18</v>
      </c>
      <c r="G62" t="s">
        <v>19</v>
      </c>
      <c r="I62" t="str">
        <f>CONCATENATE($L$1,"10")</f>
        <v>pard400_10</v>
      </c>
      <c r="J62">
        <v>400</v>
      </c>
      <c r="K62">
        <v>10</v>
      </c>
      <c r="L62" s="1">
        <f t="shared" si="30"/>
        <v>600.01017808914105</v>
      </c>
      <c r="M62">
        <f t="shared" si="31"/>
        <v>452200</v>
      </c>
      <c r="N62">
        <f t="shared" si="32"/>
        <v>3028</v>
      </c>
      <c r="O62" s="1">
        <f t="shared" si="33"/>
        <v>301.74605011940002</v>
      </c>
      <c r="P62">
        <f t="shared" si="34"/>
        <v>189577</v>
      </c>
      <c r="Q62">
        <f t="shared" si="35"/>
        <v>749</v>
      </c>
      <c r="R62" s="1">
        <f t="shared" si="36"/>
        <v>419.865931987762</v>
      </c>
      <c r="S62">
        <f t="shared" si="37"/>
        <v>179051</v>
      </c>
      <c r="T62">
        <f t="shared" si="38"/>
        <v>741</v>
      </c>
      <c r="X62">
        <f t="shared" si="39"/>
        <v>1</v>
      </c>
      <c r="Y62">
        <f t="shared" si="40"/>
        <v>0</v>
      </c>
      <c r="AA62" t="str">
        <f t="shared" ref="AA62" si="55">CONCATENATE(I62," &amp; ",K62, " &amp; ", ROUND(L62,2), " &amp; ", M62, " &amp; ", N62, " &amp; ",  ROUND(O62,2), " &amp; ", P62, " &amp; ", Q62, " &amp; ", ROUND(R62,2), " &amp; ", S62, " &amp; ", T62,  "\\")</f>
        <v>pard400_10 &amp; 10 &amp; 600.01 &amp; 452200 &amp; 3028 &amp; 301.75 &amp; 189577 &amp; 749 &amp; 419.87 &amp; 179051 &amp; 741\\</v>
      </c>
    </row>
    <row r="63" spans="1:27" x14ac:dyDescent="0.2">
      <c r="A63" t="s">
        <v>25</v>
      </c>
      <c r="B63">
        <v>200</v>
      </c>
      <c r="C63" t="s">
        <v>21</v>
      </c>
      <c r="D63" t="s">
        <v>58</v>
      </c>
      <c r="E63">
        <v>600.02483580000001</v>
      </c>
      <c r="F63">
        <v>157100</v>
      </c>
      <c r="G63">
        <v>135</v>
      </c>
      <c r="I63" t="str">
        <f>CONCATENATE($L$1,"10")</f>
        <v>pard400_10</v>
      </c>
      <c r="J63">
        <v>400</v>
      </c>
      <c r="K63">
        <v>400</v>
      </c>
      <c r="L63" s="1">
        <f t="shared" si="30"/>
        <v>0</v>
      </c>
      <c r="M63">
        <f t="shared" si="31"/>
        <v>0</v>
      </c>
      <c r="N63">
        <f t="shared" si="32"/>
        <v>0</v>
      </c>
      <c r="O63" s="1">
        <f t="shared" si="33"/>
        <v>0</v>
      </c>
      <c r="P63">
        <f t="shared" si="34"/>
        <v>0</v>
      </c>
      <c r="Q63">
        <f t="shared" si="35"/>
        <v>0</v>
      </c>
      <c r="R63" s="1">
        <f t="shared" si="36"/>
        <v>0</v>
      </c>
      <c r="S63">
        <f t="shared" si="37"/>
        <v>0</v>
      </c>
      <c r="T63">
        <f t="shared" si="38"/>
        <v>0</v>
      </c>
      <c r="X63">
        <f t="shared" si="39"/>
        <v>0</v>
      </c>
      <c r="Y63">
        <f t="shared" si="40"/>
        <v>0</v>
      </c>
      <c r="AA63" t="str">
        <f>CONCATENATE(I63," &amp; ","nc", " &amp; ", ROUND(L63,2), " &amp; ", M63, " &amp; ", N63, " &amp; ",  ROUND(O63,2), " &amp; ", P63, " &amp; ", Q63, " &amp; ", ROUND(R63,2), " &amp; ", S63, " &amp; ", T63,  "\\")</f>
        <v>pard400_10 &amp; nc &amp; 0 &amp; 0 &amp; 0 &amp; 0 &amp; 0 &amp; 0 &amp; 0 &amp; 0 &amp; 0\\</v>
      </c>
    </row>
    <row r="64" spans="1:27" x14ac:dyDescent="0.2">
      <c r="A64" t="s">
        <v>0</v>
      </c>
      <c r="B64" t="s">
        <v>14</v>
      </c>
      <c r="C64" t="s">
        <v>15</v>
      </c>
      <c r="D64" t="s">
        <v>16</v>
      </c>
      <c r="E64" t="s">
        <v>17</v>
      </c>
      <c r="F64" t="s">
        <v>18</v>
      </c>
      <c r="G64" t="s">
        <v>19</v>
      </c>
    </row>
    <row r="65" spans="1:7" x14ac:dyDescent="0.2">
      <c r="A65" t="s">
        <v>25</v>
      </c>
      <c r="B65">
        <v>200</v>
      </c>
      <c r="C65" t="s">
        <v>21</v>
      </c>
      <c r="D65" t="s">
        <v>59</v>
      </c>
      <c r="E65">
        <v>600.02081420000002</v>
      </c>
      <c r="F65">
        <v>226100</v>
      </c>
      <c r="G65">
        <v>66</v>
      </c>
    </row>
    <row r="66" spans="1:7" x14ac:dyDescent="0.2">
      <c r="A66" t="s">
        <v>0</v>
      </c>
      <c r="B66" t="s">
        <v>14</v>
      </c>
      <c r="C66" t="s">
        <v>15</v>
      </c>
      <c r="D66" t="s">
        <v>16</v>
      </c>
      <c r="E66" t="s">
        <v>17</v>
      </c>
      <c r="F66" t="s">
        <v>18</v>
      </c>
      <c r="G66" t="s">
        <v>19</v>
      </c>
    </row>
    <row r="67" spans="1:7" x14ac:dyDescent="0.2">
      <c r="A67" t="s">
        <v>26</v>
      </c>
      <c r="B67">
        <v>200</v>
      </c>
      <c r="C67" t="s">
        <v>21</v>
      </c>
      <c r="D67" t="s">
        <v>1</v>
      </c>
      <c r="E67">
        <v>600.00236010000003</v>
      </c>
      <c r="F67">
        <v>903540</v>
      </c>
      <c r="G67">
        <v>888</v>
      </c>
    </row>
    <row r="68" spans="1:7" x14ac:dyDescent="0.2">
      <c r="A68" t="s">
        <v>0</v>
      </c>
      <c r="B68" t="s">
        <v>14</v>
      </c>
      <c r="C68" t="s">
        <v>15</v>
      </c>
      <c r="D68" t="s">
        <v>16</v>
      </c>
      <c r="E68" t="s">
        <v>17</v>
      </c>
      <c r="F68" t="s">
        <v>18</v>
      </c>
      <c r="G68" t="s">
        <v>19</v>
      </c>
    </row>
    <row r="69" spans="1:7" x14ac:dyDescent="0.2">
      <c r="A69" t="s">
        <v>26</v>
      </c>
      <c r="B69">
        <v>200</v>
      </c>
      <c r="C69" t="s">
        <v>21</v>
      </c>
      <c r="D69" t="s">
        <v>58</v>
      </c>
      <c r="E69">
        <v>600.00363519999996</v>
      </c>
      <c r="F69">
        <v>357179</v>
      </c>
      <c r="G69">
        <v>246</v>
      </c>
    </row>
    <row r="70" spans="1:7" x14ac:dyDescent="0.2">
      <c r="A70" t="s">
        <v>0</v>
      </c>
      <c r="B70" t="s">
        <v>14</v>
      </c>
      <c r="C70" t="s">
        <v>15</v>
      </c>
      <c r="D70" t="s">
        <v>16</v>
      </c>
      <c r="E70" t="s">
        <v>17</v>
      </c>
      <c r="F70" t="s">
        <v>18</v>
      </c>
      <c r="G70" t="s">
        <v>19</v>
      </c>
    </row>
    <row r="71" spans="1:7" x14ac:dyDescent="0.2">
      <c r="A71" t="s">
        <v>26</v>
      </c>
      <c r="B71">
        <v>200</v>
      </c>
      <c r="C71" t="s">
        <v>21</v>
      </c>
      <c r="D71" t="s">
        <v>59</v>
      </c>
      <c r="E71">
        <v>600.01687100000004</v>
      </c>
      <c r="F71">
        <v>268400</v>
      </c>
      <c r="G71">
        <v>259</v>
      </c>
    </row>
    <row r="72" spans="1:7" x14ac:dyDescent="0.2">
      <c r="A72" t="s">
        <v>0</v>
      </c>
      <c r="B72" t="s">
        <v>14</v>
      </c>
      <c r="C72" t="s">
        <v>15</v>
      </c>
      <c r="D72" t="s">
        <v>16</v>
      </c>
      <c r="E72" t="s">
        <v>17</v>
      </c>
      <c r="F72" t="s">
        <v>18</v>
      </c>
      <c r="G72" t="s">
        <v>19</v>
      </c>
    </row>
    <row r="73" spans="1:7" x14ac:dyDescent="0.2">
      <c r="A73" t="s">
        <v>27</v>
      </c>
      <c r="B73">
        <v>200</v>
      </c>
      <c r="C73" t="s">
        <v>21</v>
      </c>
      <c r="D73" t="s">
        <v>1</v>
      </c>
      <c r="E73">
        <v>535.10317799999996</v>
      </c>
      <c r="F73">
        <v>913511</v>
      </c>
      <c r="G73">
        <v>1092</v>
      </c>
    </row>
    <row r="74" spans="1:7" x14ac:dyDescent="0.2">
      <c r="A74" t="s">
        <v>0</v>
      </c>
      <c r="B74" t="s">
        <v>14</v>
      </c>
      <c r="C74" t="s">
        <v>15</v>
      </c>
      <c r="D74" t="s">
        <v>16</v>
      </c>
      <c r="E74" t="s">
        <v>17</v>
      </c>
      <c r="F74" t="s">
        <v>18</v>
      </c>
      <c r="G74" t="s">
        <v>19</v>
      </c>
    </row>
    <row r="75" spans="1:7" x14ac:dyDescent="0.2">
      <c r="A75" t="s">
        <v>27</v>
      </c>
      <c r="B75">
        <v>200</v>
      </c>
      <c r="C75" t="s">
        <v>21</v>
      </c>
      <c r="D75" t="s">
        <v>58</v>
      </c>
      <c r="E75">
        <v>600.016392</v>
      </c>
      <c r="F75">
        <v>297600</v>
      </c>
      <c r="G75">
        <v>94</v>
      </c>
    </row>
    <row r="76" spans="1:7" x14ac:dyDescent="0.2">
      <c r="A76" t="s">
        <v>27</v>
      </c>
      <c r="B76">
        <v>200</v>
      </c>
      <c r="C76" t="s">
        <v>21</v>
      </c>
      <c r="D76" t="s">
        <v>59</v>
      </c>
      <c r="E76">
        <v>529.82838609999999</v>
      </c>
      <c r="F76">
        <v>212554</v>
      </c>
      <c r="G76">
        <v>94</v>
      </c>
    </row>
    <row r="77" spans="1:7" x14ac:dyDescent="0.2">
      <c r="A77" t="s">
        <v>0</v>
      </c>
      <c r="B77" t="s">
        <v>14</v>
      </c>
      <c r="C77" t="s">
        <v>15</v>
      </c>
      <c r="D77" t="s">
        <v>16</v>
      </c>
      <c r="E77" t="s">
        <v>17</v>
      </c>
      <c r="F77" t="s">
        <v>18</v>
      </c>
      <c r="G77" t="s">
        <v>19</v>
      </c>
    </row>
    <row r="78" spans="1:7" x14ac:dyDescent="0.2">
      <c r="A78" t="s">
        <v>28</v>
      </c>
      <c r="B78">
        <v>200</v>
      </c>
      <c r="C78" t="s">
        <v>21</v>
      </c>
      <c r="D78" t="s">
        <v>1</v>
      </c>
      <c r="E78">
        <v>600.00937099999999</v>
      </c>
      <c r="F78" s="5">
        <v>1340000</v>
      </c>
      <c r="G78">
        <v>1314</v>
      </c>
    </row>
    <row r="79" spans="1:7" x14ac:dyDescent="0.2">
      <c r="A79" t="s">
        <v>0</v>
      </c>
      <c r="B79" t="s">
        <v>14</v>
      </c>
      <c r="C79" t="s">
        <v>15</v>
      </c>
      <c r="D79" t="s">
        <v>16</v>
      </c>
      <c r="E79" t="s">
        <v>17</v>
      </c>
      <c r="F79" t="s">
        <v>18</v>
      </c>
      <c r="G79" t="s">
        <v>19</v>
      </c>
    </row>
    <row r="80" spans="1:7" x14ac:dyDescent="0.2">
      <c r="A80" t="s">
        <v>28</v>
      </c>
      <c r="B80">
        <v>200</v>
      </c>
      <c r="C80" t="s">
        <v>21</v>
      </c>
      <c r="D80" t="s">
        <v>58</v>
      </c>
      <c r="E80">
        <v>600.01191400000005</v>
      </c>
      <c r="F80">
        <v>531400</v>
      </c>
      <c r="G80">
        <v>1408</v>
      </c>
    </row>
    <row r="81" spans="1:7" x14ac:dyDescent="0.2">
      <c r="A81" t="s">
        <v>0</v>
      </c>
      <c r="B81" t="s">
        <v>14</v>
      </c>
      <c r="C81" t="s">
        <v>15</v>
      </c>
      <c r="D81" t="s">
        <v>16</v>
      </c>
      <c r="E81" t="s">
        <v>17</v>
      </c>
      <c r="F81" t="s">
        <v>18</v>
      </c>
      <c r="G81" t="s">
        <v>19</v>
      </c>
    </row>
    <row r="82" spans="1:7" x14ac:dyDescent="0.2">
      <c r="A82" t="s">
        <v>28</v>
      </c>
      <c r="B82">
        <v>200</v>
      </c>
      <c r="C82" t="s">
        <v>21</v>
      </c>
      <c r="D82" t="s">
        <v>59</v>
      </c>
      <c r="E82">
        <v>600.00945119999994</v>
      </c>
      <c r="F82">
        <v>573200</v>
      </c>
      <c r="G82">
        <v>1358</v>
      </c>
    </row>
    <row r="83" spans="1:7" x14ac:dyDescent="0.2">
      <c r="A83" t="s">
        <v>0</v>
      </c>
      <c r="B83" t="s">
        <v>14</v>
      </c>
      <c r="C83" t="s">
        <v>15</v>
      </c>
      <c r="D83" t="s">
        <v>16</v>
      </c>
      <c r="E83" t="s">
        <v>17</v>
      </c>
      <c r="F83" t="s">
        <v>18</v>
      </c>
      <c r="G83" t="s">
        <v>19</v>
      </c>
    </row>
    <row r="84" spans="1:7" x14ac:dyDescent="0.2">
      <c r="A84" t="s">
        <v>29</v>
      </c>
      <c r="B84">
        <v>200</v>
      </c>
      <c r="C84" t="s">
        <v>21</v>
      </c>
      <c r="D84" t="s">
        <v>1</v>
      </c>
      <c r="E84">
        <v>600.00177980000001</v>
      </c>
      <c r="F84" s="5">
        <v>1280000</v>
      </c>
      <c r="G84">
        <v>1016</v>
      </c>
    </row>
    <row r="85" spans="1:7" x14ac:dyDescent="0.2">
      <c r="A85" t="s">
        <v>0</v>
      </c>
      <c r="B85" t="s">
        <v>14</v>
      </c>
      <c r="C85" t="s">
        <v>15</v>
      </c>
      <c r="D85" t="s">
        <v>16</v>
      </c>
      <c r="E85" t="s">
        <v>17</v>
      </c>
      <c r="F85" t="s">
        <v>18</v>
      </c>
      <c r="G85" t="s">
        <v>19</v>
      </c>
    </row>
    <row r="86" spans="1:7" x14ac:dyDescent="0.2">
      <c r="A86" t="s">
        <v>29</v>
      </c>
      <c r="B86">
        <v>200</v>
      </c>
      <c r="C86" t="s">
        <v>21</v>
      </c>
      <c r="D86" t="s">
        <v>58</v>
      </c>
      <c r="E86">
        <v>600.00906799999996</v>
      </c>
      <c r="F86">
        <v>479900</v>
      </c>
      <c r="G86">
        <v>789</v>
      </c>
    </row>
    <row r="87" spans="1:7" x14ac:dyDescent="0.2">
      <c r="A87" t="s">
        <v>29</v>
      </c>
      <c r="B87">
        <v>200</v>
      </c>
      <c r="C87" t="s">
        <v>21</v>
      </c>
      <c r="D87" t="s">
        <v>59</v>
      </c>
      <c r="E87">
        <v>600.01544904708805</v>
      </c>
      <c r="F87">
        <v>557600</v>
      </c>
      <c r="G87">
        <v>580</v>
      </c>
    </row>
    <row r="88" spans="1:7" x14ac:dyDescent="0.2">
      <c r="A88" t="s">
        <v>0</v>
      </c>
      <c r="B88" t="s">
        <v>14</v>
      </c>
      <c r="C88" t="s">
        <v>15</v>
      </c>
      <c r="D88" t="s">
        <v>16</v>
      </c>
      <c r="E88" t="s">
        <v>17</v>
      </c>
      <c r="F88" t="s">
        <v>18</v>
      </c>
      <c r="G88" t="s">
        <v>19</v>
      </c>
    </row>
    <row r="89" spans="1:7" x14ac:dyDescent="0.2">
      <c r="A89" t="s">
        <v>30</v>
      </c>
      <c r="B89">
        <v>200</v>
      </c>
      <c r="C89" t="s">
        <v>21</v>
      </c>
      <c r="D89" t="s">
        <v>58</v>
      </c>
      <c r="E89">
        <v>600.00580406188897</v>
      </c>
      <c r="F89">
        <v>496200</v>
      </c>
      <c r="G89">
        <v>183</v>
      </c>
    </row>
    <row r="90" spans="1:7" x14ac:dyDescent="0.2">
      <c r="A90" t="s">
        <v>0</v>
      </c>
      <c r="B90" t="s">
        <v>14</v>
      </c>
      <c r="C90" t="s">
        <v>15</v>
      </c>
      <c r="D90" t="s">
        <v>16</v>
      </c>
      <c r="E90" t="s">
        <v>17</v>
      </c>
      <c r="F90" t="s">
        <v>18</v>
      </c>
      <c r="G90" t="s">
        <v>19</v>
      </c>
    </row>
    <row r="91" spans="1:7" x14ac:dyDescent="0.2">
      <c r="A91" t="s">
        <v>30</v>
      </c>
      <c r="B91">
        <v>200</v>
      </c>
      <c r="C91" t="s">
        <v>21</v>
      </c>
      <c r="D91" t="s">
        <v>59</v>
      </c>
      <c r="E91">
        <v>600.01126980781498</v>
      </c>
      <c r="F91">
        <v>502600</v>
      </c>
      <c r="G91">
        <v>119</v>
      </c>
    </row>
    <row r="92" spans="1:7" x14ac:dyDescent="0.2">
      <c r="A92" t="s">
        <v>0</v>
      </c>
      <c r="B92" t="s">
        <v>14</v>
      </c>
      <c r="C92" t="s">
        <v>15</v>
      </c>
      <c r="D92" t="s">
        <v>16</v>
      </c>
      <c r="E92" t="s">
        <v>17</v>
      </c>
      <c r="F92" t="s">
        <v>18</v>
      </c>
      <c r="G92" t="s">
        <v>19</v>
      </c>
    </row>
    <row r="93" spans="1:7" x14ac:dyDescent="0.2">
      <c r="A93" t="s">
        <v>31</v>
      </c>
      <c r="B93">
        <v>200</v>
      </c>
      <c r="C93" t="s">
        <v>21</v>
      </c>
      <c r="D93" t="s">
        <v>1</v>
      </c>
      <c r="E93">
        <v>600.00389099121003</v>
      </c>
      <c r="F93" s="5">
        <v>1336700</v>
      </c>
      <c r="G93">
        <v>862</v>
      </c>
    </row>
    <row r="94" spans="1:7" x14ac:dyDescent="0.2">
      <c r="A94" t="s">
        <v>0</v>
      </c>
      <c r="B94" t="s">
        <v>14</v>
      </c>
      <c r="C94" t="s">
        <v>15</v>
      </c>
      <c r="D94" t="s">
        <v>16</v>
      </c>
      <c r="E94" t="s">
        <v>17</v>
      </c>
      <c r="F94" t="s">
        <v>18</v>
      </c>
      <c r="G94" t="s">
        <v>19</v>
      </c>
    </row>
    <row r="95" spans="1:7" x14ac:dyDescent="0.2">
      <c r="A95" t="s">
        <v>31</v>
      </c>
      <c r="B95">
        <v>200</v>
      </c>
      <c r="C95" t="s">
        <v>21</v>
      </c>
      <c r="D95" t="s">
        <v>58</v>
      </c>
      <c r="E95">
        <v>600.009209871292</v>
      </c>
      <c r="F95">
        <v>674300</v>
      </c>
      <c r="G95">
        <v>552</v>
      </c>
    </row>
    <row r="96" spans="1:7" x14ac:dyDescent="0.2">
      <c r="A96" t="s">
        <v>0</v>
      </c>
      <c r="B96" t="s">
        <v>14</v>
      </c>
      <c r="C96" t="s">
        <v>15</v>
      </c>
      <c r="D96" t="s">
        <v>16</v>
      </c>
      <c r="E96" t="s">
        <v>17</v>
      </c>
      <c r="F96" t="s">
        <v>18</v>
      </c>
      <c r="G96" t="s">
        <v>19</v>
      </c>
    </row>
    <row r="97" spans="1:7" x14ac:dyDescent="0.2">
      <c r="A97" t="s">
        <v>31</v>
      </c>
      <c r="B97">
        <v>200</v>
      </c>
      <c r="C97" t="s">
        <v>21</v>
      </c>
      <c r="D97" t="s">
        <v>59</v>
      </c>
      <c r="E97">
        <v>600.01931905746403</v>
      </c>
      <c r="F97">
        <v>507900</v>
      </c>
      <c r="G97">
        <v>420</v>
      </c>
    </row>
    <row r="98" spans="1:7" x14ac:dyDescent="0.2">
      <c r="A98" t="s">
        <v>0</v>
      </c>
      <c r="B98" t="s">
        <v>14</v>
      </c>
      <c r="C98" t="s">
        <v>15</v>
      </c>
      <c r="D98" t="s">
        <v>16</v>
      </c>
      <c r="E98" t="s">
        <v>17</v>
      </c>
      <c r="F98" t="s">
        <v>18</v>
      </c>
      <c r="G98" t="s">
        <v>19</v>
      </c>
    </row>
    <row r="99" spans="1:7" x14ac:dyDescent="0.2">
      <c r="A99" t="s">
        <v>32</v>
      </c>
      <c r="B99">
        <v>200</v>
      </c>
      <c r="C99" t="s">
        <v>21</v>
      </c>
      <c r="D99" t="s">
        <v>1</v>
      </c>
      <c r="E99">
        <v>600.00830602645794</v>
      </c>
      <c r="F99" s="5">
        <v>1263700</v>
      </c>
      <c r="G99">
        <v>1941</v>
      </c>
    </row>
    <row r="100" spans="1:7" x14ac:dyDescent="0.2">
      <c r="A100" t="s">
        <v>0</v>
      </c>
      <c r="B100" t="s">
        <v>14</v>
      </c>
      <c r="C100" t="s">
        <v>15</v>
      </c>
      <c r="D100" t="s">
        <v>16</v>
      </c>
      <c r="E100" t="s">
        <v>17</v>
      </c>
      <c r="F100" t="s">
        <v>18</v>
      </c>
      <c r="G100" t="s">
        <v>19</v>
      </c>
    </row>
    <row r="101" spans="1:7" x14ac:dyDescent="0.2">
      <c r="A101" t="s">
        <v>32</v>
      </c>
      <c r="B101">
        <v>200</v>
      </c>
      <c r="C101" t="s">
        <v>21</v>
      </c>
      <c r="D101" t="s">
        <v>58</v>
      </c>
      <c r="E101">
        <v>600.01596307754505</v>
      </c>
      <c r="F101">
        <v>703900</v>
      </c>
      <c r="G101">
        <v>1977</v>
      </c>
    </row>
    <row r="102" spans="1:7" x14ac:dyDescent="0.2">
      <c r="A102" t="s">
        <v>0</v>
      </c>
      <c r="B102" t="s">
        <v>14</v>
      </c>
      <c r="C102" t="s">
        <v>15</v>
      </c>
      <c r="D102" t="s">
        <v>16</v>
      </c>
      <c r="E102" t="s">
        <v>17</v>
      </c>
      <c r="F102" t="s">
        <v>18</v>
      </c>
      <c r="G102" t="s">
        <v>19</v>
      </c>
    </row>
    <row r="103" spans="1:7" x14ac:dyDescent="0.2">
      <c r="A103" t="s">
        <v>32</v>
      </c>
      <c r="B103">
        <v>200</v>
      </c>
      <c r="C103" t="s">
        <v>21</v>
      </c>
      <c r="D103" t="s">
        <v>59</v>
      </c>
      <c r="E103">
        <v>600.03558588027897</v>
      </c>
      <c r="F103">
        <v>498000</v>
      </c>
      <c r="G103">
        <v>1970</v>
      </c>
    </row>
    <row r="104" spans="1:7" x14ac:dyDescent="0.2">
      <c r="A104" t="s">
        <v>0</v>
      </c>
      <c r="B104" t="s">
        <v>14</v>
      </c>
      <c r="C104" t="s">
        <v>15</v>
      </c>
      <c r="D104" t="s">
        <v>16</v>
      </c>
      <c r="E104" t="s">
        <v>17</v>
      </c>
      <c r="F104" t="s">
        <v>18</v>
      </c>
      <c r="G104" t="s">
        <v>19</v>
      </c>
    </row>
    <row r="105" spans="1:7" x14ac:dyDescent="0.2">
      <c r="A105" t="s">
        <v>33</v>
      </c>
      <c r="B105">
        <v>200</v>
      </c>
      <c r="C105" t="s">
        <v>21</v>
      </c>
      <c r="D105" t="s">
        <v>1</v>
      </c>
      <c r="E105">
        <v>600.01883316040005</v>
      </c>
      <c r="F105">
        <v>974400</v>
      </c>
      <c r="G105">
        <v>1584</v>
      </c>
    </row>
    <row r="106" spans="1:7" x14ac:dyDescent="0.2">
      <c r="A106" t="s">
        <v>0</v>
      </c>
      <c r="B106" t="s">
        <v>14</v>
      </c>
      <c r="C106" t="s">
        <v>15</v>
      </c>
      <c r="D106" t="s">
        <v>16</v>
      </c>
      <c r="E106" t="s">
        <v>17</v>
      </c>
      <c r="F106" t="s">
        <v>18</v>
      </c>
      <c r="G106" t="s">
        <v>19</v>
      </c>
    </row>
    <row r="107" spans="1:7" x14ac:dyDescent="0.2">
      <c r="A107" t="s">
        <v>33</v>
      </c>
      <c r="B107">
        <v>200</v>
      </c>
      <c r="C107" t="s">
        <v>21</v>
      </c>
      <c r="D107" t="s">
        <v>58</v>
      </c>
      <c r="E107">
        <v>600.03254985809303</v>
      </c>
      <c r="F107">
        <v>498100</v>
      </c>
      <c r="G107">
        <v>1513</v>
      </c>
    </row>
    <row r="108" spans="1:7" x14ac:dyDescent="0.2">
      <c r="A108" t="s">
        <v>0</v>
      </c>
      <c r="B108" t="s">
        <v>14</v>
      </c>
      <c r="C108" t="s">
        <v>15</v>
      </c>
      <c r="D108" t="s">
        <v>16</v>
      </c>
      <c r="E108" t="s">
        <v>17</v>
      </c>
      <c r="F108" t="s">
        <v>18</v>
      </c>
      <c r="G108" t="s">
        <v>19</v>
      </c>
    </row>
    <row r="109" spans="1:7" x14ac:dyDescent="0.2">
      <c r="A109" t="s">
        <v>33</v>
      </c>
      <c r="B109">
        <v>200</v>
      </c>
      <c r="C109" t="s">
        <v>21</v>
      </c>
      <c r="D109" t="s">
        <v>59</v>
      </c>
      <c r="E109">
        <v>600.008385181427</v>
      </c>
      <c r="F109">
        <v>313400</v>
      </c>
      <c r="G109">
        <v>1482</v>
      </c>
    </row>
    <row r="110" spans="1:7" x14ac:dyDescent="0.2">
      <c r="A110" t="s">
        <v>0</v>
      </c>
      <c r="B110" t="s">
        <v>14</v>
      </c>
      <c r="C110" t="s">
        <v>15</v>
      </c>
      <c r="D110" t="s">
        <v>16</v>
      </c>
      <c r="E110" t="s">
        <v>17</v>
      </c>
      <c r="F110" t="s">
        <v>18</v>
      </c>
      <c r="G110" t="s">
        <v>19</v>
      </c>
    </row>
    <row r="111" spans="1:7" x14ac:dyDescent="0.2">
      <c r="A111" t="s">
        <v>27</v>
      </c>
      <c r="B111">
        <v>10</v>
      </c>
      <c r="C111" t="s">
        <v>21</v>
      </c>
      <c r="D111" t="s">
        <v>58</v>
      </c>
      <c r="E111">
        <v>344.66461205482398</v>
      </c>
      <c r="F111">
        <v>223707</v>
      </c>
      <c r="G111">
        <v>1053</v>
      </c>
    </row>
    <row r="112" spans="1:7" x14ac:dyDescent="0.2">
      <c r="A112" t="s">
        <v>30</v>
      </c>
      <c r="B112">
        <v>200</v>
      </c>
      <c r="C112" t="s">
        <v>21</v>
      </c>
      <c r="D112" t="s">
        <v>1</v>
      </c>
      <c r="E112">
        <v>600.00210118293705</v>
      </c>
      <c r="F112" s="5">
        <v>1244784</v>
      </c>
      <c r="G112">
        <v>522</v>
      </c>
    </row>
    <row r="113" spans="1:7" x14ac:dyDescent="0.2">
      <c r="A113" t="s">
        <v>0</v>
      </c>
      <c r="B113" t="s">
        <v>14</v>
      </c>
      <c r="C113" t="s">
        <v>15</v>
      </c>
      <c r="D113" t="s">
        <v>16</v>
      </c>
      <c r="E113" t="s">
        <v>17</v>
      </c>
      <c r="F113" t="s">
        <v>18</v>
      </c>
      <c r="G113" t="s">
        <v>19</v>
      </c>
    </row>
    <row r="114" spans="1:7" x14ac:dyDescent="0.2">
      <c r="A114" t="s">
        <v>46</v>
      </c>
      <c r="B114">
        <v>10</v>
      </c>
      <c r="C114" t="s">
        <v>21</v>
      </c>
      <c r="D114" t="s">
        <v>1</v>
      </c>
      <c r="E114">
        <v>600.00985813140801</v>
      </c>
      <c r="F114">
        <v>416269</v>
      </c>
      <c r="G114">
        <v>3214</v>
      </c>
    </row>
    <row r="115" spans="1:7" x14ac:dyDescent="0.2">
      <c r="A115" t="s">
        <v>0</v>
      </c>
      <c r="B115" t="s">
        <v>14</v>
      </c>
      <c r="C115" t="s">
        <v>15</v>
      </c>
      <c r="D115" t="s">
        <v>16</v>
      </c>
      <c r="E115" t="s">
        <v>17</v>
      </c>
      <c r="F115" t="s">
        <v>18</v>
      </c>
      <c r="G115" t="s">
        <v>19</v>
      </c>
    </row>
    <row r="116" spans="1:7" x14ac:dyDescent="0.2">
      <c r="A116" t="s">
        <v>46</v>
      </c>
      <c r="B116">
        <v>10</v>
      </c>
      <c r="C116" t="s">
        <v>21</v>
      </c>
      <c r="D116" t="s">
        <v>58</v>
      </c>
      <c r="E116">
        <v>600.00692796707096</v>
      </c>
      <c r="F116">
        <v>275500</v>
      </c>
      <c r="G116">
        <v>1395</v>
      </c>
    </row>
    <row r="117" spans="1:7" x14ac:dyDescent="0.2">
      <c r="A117" t="s">
        <v>0</v>
      </c>
      <c r="B117" t="s">
        <v>14</v>
      </c>
      <c r="C117" t="s">
        <v>15</v>
      </c>
      <c r="D117" t="s">
        <v>16</v>
      </c>
      <c r="E117" t="s">
        <v>17</v>
      </c>
      <c r="F117" t="s">
        <v>18</v>
      </c>
      <c r="G117" t="s">
        <v>19</v>
      </c>
    </row>
    <row r="118" spans="1:7" x14ac:dyDescent="0.2">
      <c r="A118" t="s">
        <v>46</v>
      </c>
      <c r="B118">
        <v>10</v>
      </c>
      <c r="C118" t="s">
        <v>21</v>
      </c>
      <c r="D118" t="s">
        <v>59</v>
      </c>
      <c r="E118">
        <v>600.01081514358498</v>
      </c>
      <c r="F118">
        <v>207000</v>
      </c>
      <c r="G118">
        <v>1202</v>
      </c>
    </row>
    <row r="119" spans="1:7" x14ac:dyDescent="0.2">
      <c r="A119" t="s">
        <v>0</v>
      </c>
      <c r="B119" t="s">
        <v>14</v>
      </c>
      <c r="C119" t="s">
        <v>15</v>
      </c>
      <c r="D119" t="s">
        <v>16</v>
      </c>
      <c r="E119" t="s">
        <v>17</v>
      </c>
      <c r="F119" t="s">
        <v>18</v>
      </c>
      <c r="G119" t="s">
        <v>19</v>
      </c>
    </row>
    <row r="120" spans="1:7" x14ac:dyDescent="0.2">
      <c r="A120" t="s">
        <v>47</v>
      </c>
      <c r="B120">
        <v>10</v>
      </c>
      <c r="C120" t="s">
        <v>21</v>
      </c>
      <c r="D120" t="s">
        <v>1</v>
      </c>
      <c r="E120">
        <v>13.1446018218994</v>
      </c>
      <c r="F120">
        <v>29337</v>
      </c>
      <c r="G120">
        <v>444</v>
      </c>
    </row>
    <row r="121" spans="1:7" x14ac:dyDescent="0.2">
      <c r="A121" t="s">
        <v>0</v>
      </c>
      <c r="B121" t="s">
        <v>14</v>
      </c>
      <c r="C121" t="s">
        <v>15</v>
      </c>
      <c r="D121" t="s">
        <v>16</v>
      </c>
      <c r="E121" t="s">
        <v>17</v>
      </c>
      <c r="F121" t="s">
        <v>18</v>
      </c>
      <c r="G121" t="s">
        <v>19</v>
      </c>
    </row>
    <row r="122" spans="1:7" x14ac:dyDescent="0.2">
      <c r="A122" t="s">
        <v>47</v>
      </c>
      <c r="B122">
        <v>10</v>
      </c>
      <c r="C122" t="s">
        <v>21</v>
      </c>
      <c r="D122" t="s">
        <v>58</v>
      </c>
      <c r="E122">
        <v>0.30203413963317799</v>
      </c>
      <c r="F122">
        <v>105</v>
      </c>
      <c r="G122">
        <v>9</v>
      </c>
    </row>
    <row r="123" spans="1:7" x14ac:dyDescent="0.2">
      <c r="A123" t="s">
        <v>0</v>
      </c>
      <c r="B123" t="s">
        <v>14</v>
      </c>
      <c r="C123" t="s">
        <v>15</v>
      </c>
      <c r="D123" t="s">
        <v>16</v>
      </c>
      <c r="E123" t="s">
        <v>17</v>
      </c>
      <c r="F123" t="s">
        <v>18</v>
      </c>
      <c r="G123" t="s">
        <v>19</v>
      </c>
    </row>
    <row r="124" spans="1:7" x14ac:dyDescent="0.2">
      <c r="A124" t="s">
        <v>47</v>
      </c>
      <c r="B124">
        <v>10</v>
      </c>
      <c r="C124" t="s">
        <v>21</v>
      </c>
      <c r="D124" t="s">
        <v>59</v>
      </c>
      <c r="E124">
        <v>13.630568027496301</v>
      </c>
      <c r="F124">
        <v>105</v>
      </c>
      <c r="G124">
        <v>7</v>
      </c>
    </row>
    <row r="125" spans="1:7" x14ac:dyDescent="0.2">
      <c r="A125" t="s">
        <v>0</v>
      </c>
      <c r="B125" t="s">
        <v>14</v>
      </c>
      <c r="C125" t="s">
        <v>15</v>
      </c>
      <c r="D125" t="s">
        <v>16</v>
      </c>
      <c r="E125" t="s">
        <v>17</v>
      </c>
      <c r="F125" t="s">
        <v>18</v>
      </c>
      <c r="G125" t="s">
        <v>19</v>
      </c>
    </row>
    <row r="126" spans="1:7" x14ac:dyDescent="0.2">
      <c r="A126" t="s">
        <v>48</v>
      </c>
      <c r="B126">
        <v>10</v>
      </c>
      <c r="C126" t="s">
        <v>21</v>
      </c>
      <c r="D126" t="s">
        <v>1</v>
      </c>
      <c r="E126">
        <v>600.00466895103398</v>
      </c>
      <c r="F126">
        <v>573844</v>
      </c>
      <c r="G126">
        <v>2286</v>
      </c>
    </row>
    <row r="127" spans="1:7" x14ac:dyDescent="0.2">
      <c r="A127" t="s">
        <v>0</v>
      </c>
      <c r="B127" t="s">
        <v>14</v>
      </c>
      <c r="C127" t="s">
        <v>15</v>
      </c>
      <c r="D127" t="s">
        <v>16</v>
      </c>
      <c r="E127" t="s">
        <v>17</v>
      </c>
      <c r="F127" t="s">
        <v>18</v>
      </c>
      <c r="G127" t="s">
        <v>19</v>
      </c>
    </row>
    <row r="128" spans="1:7" x14ac:dyDescent="0.2">
      <c r="A128" t="s">
        <v>48</v>
      </c>
      <c r="B128">
        <v>10</v>
      </c>
      <c r="C128" t="s">
        <v>21</v>
      </c>
      <c r="D128" t="s">
        <v>58</v>
      </c>
      <c r="E128">
        <v>600.00451707839898</v>
      </c>
      <c r="F128">
        <v>428715</v>
      </c>
      <c r="G128">
        <v>1385</v>
      </c>
    </row>
    <row r="129" spans="1:7" x14ac:dyDescent="0.2">
      <c r="A129" t="s">
        <v>0</v>
      </c>
      <c r="B129" t="s">
        <v>14</v>
      </c>
      <c r="C129" t="s">
        <v>15</v>
      </c>
      <c r="D129" t="s">
        <v>16</v>
      </c>
      <c r="E129" t="s">
        <v>17</v>
      </c>
      <c r="F129" t="s">
        <v>18</v>
      </c>
      <c r="G129" t="s">
        <v>19</v>
      </c>
    </row>
    <row r="130" spans="1:7" x14ac:dyDescent="0.2">
      <c r="A130" t="s">
        <v>48</v>
      </c>
      <c r="B130">
        <v>10</v>
      </c>
      <c r="C130" t="s">
        <v>21</v>
      </c>
      <c r="D130" t="s">
        <v>59</v>
      </c>
      <c r="E130">
        <v>600.02132105827297</v>
      </c>
      <c r="F130">
        <v>255900</v>
      </c>
      <c r="G130">
        <v>1133</v>
      </c>
    </row>
    <row r="131" spans="1:7" x14ac:dyDescent="0.2">
      <c r="A131" t="s">
        <v>0</v>
      </c>
      <c r="B131" t="s">
        <v>14</v>
      </c>
      <c r="C131" t="s">
        <v>15</v>
      </c>
      <c r="D131" t="s">
        <v>16</v>
      </c>
      <c r="E131" t="s">
        <v>17</v>
      </c>
      <c r="F131" t="s">
        <v>18</v>
      </c>
      <c r="G131" t="s">
        <v>19</v>
      </c>
    </row>
    <row r="132" spans="1:7" x14ac:dyDescent="0.2">
      <c r="A132" t="s">
        <v>49</v>
      </c>
      <c r="B132">
        <v>10</v>
      </c>
      <c r="C132" t="s">
        <v>21</v>
      </c>
      <c r="D132" t="s">
        <v>1</v>
      </c>
      <c r="E132">
        <v>600.02458000183105</v>
      </c>
      <c r="F132">
        <v>479500</v>
      </c>
      <c r="G132">
        <v>3467</v>
      </c>
    </row>
    <row r="133" spans="1:7" x14ac:dyDescent="0.2">
      <c r="A133" t="s">
        <v>0</v>
      </c>
      <c r="B133" t="s">
        <v>14</v>
      </c>
      <c r="C133" t="s">
        <v>15</v>
      </c>
      <c r="D133" t="s">
        <v>16</v>
      </c>
      <c r="E133" t="s">
        <v>17</v>
      </c>
      <c r="F133" t="s">
        <v>18</v>
      </c>
      <c r="G133" t="s">
        <v>19</v>
      </c>
    </row>
    <row r="134" spans="1:7" x14ac:dyDescent="0.2">
      <c r="A134" t="s">
        <v>49</v>
      </c>
      <c r="B134">
        <v>10</v>
      </c>
      <c r="C134" t="s">
        <v>21</v>
      </c>
      <c r="D134" t="s">
        <v>58</v>
      </c>
      <c r="E134">
        <v>600.00395417213394</v>
      </c>
      <c r="F134">
        <v>265161</v>
      </c>
      <c r="G134">
        <v>1928</v>
      </c>
    </row>
    <row r="135" spans="1:7" x14ac:dyDescent="0.2">
      <c r="A135" t="s">
        <v>0</v>
      </c>
      <c r="B135" t="s">
        <v>14</v>
      </c>
      <c r="C135" t="s">
        <v>15</v>
      </c>
      <c r="D135" t="s">
        <v>16</v>
      </c>
      <c r="E135" t="s">
        <v>17</v>
      </c>
      <c r="F135" t="s">
        <v>18</v>
      </c>
      <c r="G135" t="s">
        <v>19</v>
      </c>
    </row>
    <row r="136" spans="1:7" x14ac:dyDescent="0.2">
      <c r="A136" t="s">
        <v>49</v>
      </c>
      <c r="B136">
        <v>10</v>
      </c>
      <c r="C136" t="s">
        <v>21</v>
      </c>
      <c r="D136" t="s">
        <v>59</v>
      </c>
      <c r="E136">
        <v>600.01607084274201</v>
      </c>
      <c r="F136">
        <v>220900</v>
      </c>
      <c r="G136">
        <v>1992</v>
      </c>
    </row>
    <row r="137" spans="1:7" x14ac:dyDescent="0.2">
      <c r="A137" t="s">
        <v>0</v>
      </c>
      <c r="B137" t="s">
        <v>14</v>
      </c>
      <c r="C137" t="s">
        <v>15</v>
      </c>
      <c r="D137" t="s">
        <v>16</v>
      </c>
      <c r="E137" t="s">
        <v>17</v>
      </c>
      <c r="F137" t="s">
        <v>18</v>
      </c>
      <c r="G137" t="s">
        <v>19</v>
      </c>
    </row>
    <row r="138" spans="1:7" x14ac:dyDescent="0.2">
      <c r="A138" t="s">
        <v>50</v>
      </c>
      <c r="B138">
        <v>10</v>
      </c>
      <c r="C138" t="s">
        <v>21</v>
      </c>
      <c r="D138" t="s">
        <v>1</v>
      </c>
      <c r="E138">
        <v>600.00962686538696</v>
      </c>
      <c r="F138">
        <v>338804</v>
      </c>
      <c r="G138">
        <v>3596</v>
      </c>
    </row>
    <row r="139" spans="1:7" x14ac:dyDescent="0.2">
      <c r="A139" t="s">
        <v>0</v>
      </c>
      <c r="B139" t="s">
        <v>14</v>
      </c>
      <c r="C139" t="s">
        <v>15</v>
      </c>
      <c r="D139" t="s">
        <v>16</v>
      </c>
      <c r="E139" t="s">
        <v>17</v>
      </c>
      <c r="F139" t="s">
        <v>18</v>
      </c>
      <c r="G139" t="s">
        <v>19</v>
      </c>
    </row>
    <row r="140" spans="1:7" x14ac:dyDescent="0.2">
      <c r="A140" t="s">
        <v>50</v>
      </c>
      <c r="B140">
        <v>10</v>
      </c>
      <c r="C140" t="s">
        <v>21</v>
      </c>
      <c r="D140" t="s">
        <v>58</v>
      </c>
      <c r="E140">
        <v>600.01722812652497</v>
      </c>
      <c r="F140">
        <v>241900</v>
      </c>
      <c r="G140">
        <v>2588</v>
      </c>
    </row>
    <row r="141" spans="1:7" x14ac:dyDescent="0.2">
      <c r="A141" t="s">
        <v>0</v>
      </c>
      <c r="B141" t="s">
        <v>14</v>
      </c>
      <c r="C141" t="s">
        <v>15</v>
      </c>
      <c r="D141" t="s">
        <v>16</v>
      </c>
      <c r="E141" t="s">
        <v>17</v>
      </c>
      <c r="F141" t="s">
        <v>18</v>
      </c>
      <c r="G141" t="s">
        <v>19</v>
      </c>
    </row>
    <row r="142" spans="1:7" x14ac:dyDescent="0.2">
      <c r="A142" t="s">
        <v>50</v>
      </c>
      <c r="B142">
        <v>10</v>
      </c>
      <c r="C142" t="s">
        <v>21</v>
      </c>
      <c r="D142" t="s">
        <v>59</v>
      </c>
      <c r="E142">
        <v>600.00668501853897</v>
      </c>
      <c r="F142">
        <v>183702</v>
      </c>
      <c r="G142">
        <v>1910</v>
      </c>
    </row>
    <row r="143" spans="1:7" x14ac:dyDescent="0.2">
      <c r="A143" t="s">
        <v>0</v>
      </c>
      <c r="B143" t="s">
        <v>14</v>
      </c>
      <c r="C143" t="s">
        <v>15</v>
      </c>
      <c r="D143" t="s">
        <v>16</v>
      </c>
      <c r="E143" t="s">
        <v>17</v>
      </c>
      <c r="F143" t="s">
        <v>18</v>
      </c>
      <c r="G143" t="s">
        <v>19</v>
      </c>
    </row>
    <row r="144" spans="1:7" x14ac:dyDescent="0.2">
      <c r="A144" t="s">
        <v>51</v>
      </c>
      <c r="B144">
        <v>10</v>
      </c>
      <c r="C144" t="s">
        <v>21</v>
      </c>
      <c r="D144" t="s">
        <v>1</v>
      </c>
      <c r="E144">
        <v>274.92033505439701</v>
      </c>
      <c r="F144">
        <v>279172</v>
      </c>
      <c r="G144">
        <v>1381</v>
      </c>
    </row>
    <row r="145" spans="1:7" x14ac:dyDescent="0.2">
      <c r="A145" t="s">
        <v>0</v>
      </c>
      <c r="B145" t="s">
        <v>14</v>
      </c>
      <c r="C145" t="s">
        <v>15</v>
      </c>
      <c r="D145" t="s">
        <v>16</v>
      </c>
      <c r="E145" t="s">
        <v>17</v>
      </c>
      <c r="F145" t="s">
        <v>18</v>
      </c>
      <c r="G145" t="s">
        <v>19</v>
      </c>
    </row>
    <row r="146" spans="1:7" x14ac:dyDescent="0.2">
      <c r="A146" t="s">
        <v>51</v>
      </c>
      <c r="B146">
        <v>10</v>
      </c>
      <c r="C146" t="s">
        <v>21</v>
      </c>
      <c r="D146" t="s">
        <v>58</v>
      </c>
      <c r="E146">
        <v>177.003520965576</v>
      </c>
      <c r="F146">
        <v>133468</v>
      </c>
      <c r="G146">
        <v>869</v>
      </c>
    </row>
    <row r="147" spans="1:7" x14ac:dyDescent="0.2">
      <c r="A147" t="s">
        <v>0</v>
      </c>
      <c r="B147" t="s">
        <v>14</v>
      </c>
      <c r="C147" t="s">
        <v>15</v>
      </c>
      <c r="D147" t="s">
        <v>16</v>
      </c>
      <c r="E147" t="s">
        <v>17</v>
      </c>
      <c r="F147" t="s">
        <v>18</v>
      </c>
      <c r="G147" t="s">
        <v>19</v>
      </c>
    </row>
    <row r="148" spans="1:7" x14ac:dyDescent="0.2">
      <c r="A148" t="s">
        <v>51</v>
      </c>
      <c r="B148">
        <v>10</v>
      </c>
      <c r="C148" t="s">
        <v>21</v>
      </c>
      <c r="D148" t="s">
        <v>59</v>
      </c>
      <c r="E148">
        <v>157.04078793525599</v>
      </c>
      <c r="F148">
        <v>77998</v>
      </c>
      <c r="G148">
        <v>398</v>
      </c>
    </row>
    <row r="149" spans="1:7" x14ac:dyDescent="0.2">
      <c r="A149" t="s">
        <v>0</v>
      </c>
      <c r="B149" t="s">
        <v>14</v>
      </c>
      <c r="C149" t="s">
        <v>15</v>
      </c>
      <c r="D149" t="s">
        <v>16</v>
      </c>
      <c r="E149" t="s">
        <v>17</v>
      </c>
      <c r="F149" t="s">
        <v>18</v>
      </c>
      <c r="G149" t="s">
        <v>19</v>
      </c>
    </row>
    <row r="150" spans="1:7" x14ac:dyDescent="0.2">
      <c r="A150" t="s">
        <v>52</v>
      </c>
      <c r="B150">
        <v>10</v>
      </c>
      <c r="C150" t="s">
        <v>21</v>
      </c>
      <c r="D150" t="s">
        <v>1</v>
      </c>
      <c r="E150">
        <v>600.00721120834305</v>
      </c>
      <c r="F150">
        <v>251526</v>
      </c>
      <c r="G150">
        <v>3325</v>
      </c>
    </row>
    <row r="151" spans="1:7" x14ac:dyDescent="0.2">
      <c r="A151" t="s">
        <v>0</v>
      </c>
      <c r="B151" t="s">
        <v>14</v>
      </c>
      <c r="C151" t="s">
        <v>15</v>
      </c>
      <c r="D151" t="s">
        <v>16</v>
      </c>
      <c r="E151" t="s">
        <v>17</v>
      </c>
      <c r="F151" t="s">
        <v>18</v>
      </c>
      <c r="G151" t="s">
        <v>19</v>
      </c>
    </row>
    <row r="152" spans="1:7" x14ac:dyDescent="0.2">
      <c r="A152" t="s">
        <v>52</v>
      </c>
      <c r="B152">
        <v>10</v>
      </c>
      <c r="C152" t="s">
        <v>21</v>
      </c>
      <c r="D152" t="s">
        <v>58</v>
      </c>
      <c r="E152">
        <v>272.15418696403498</v>
      </c>
      <c r="F152">
        <v>174833</v>
      </c>
      <c r="G152">
        <v>862</v>
      </c>
    </row>
    <row r="153" spans="1:7" x14ac:dyDescent="0.2">
      <c r="A153" t="s">
        <v>0</v>
      </c>
      <c r="B153" t="s">
        <v>14</v>
      </c>
      <c r="C153" t="s">
        <v>15</v>
      </c>
      <c r="D153" t="s">
        <v>16</v>
      </c>
      <c r="E153" t="s">
        <v>17</v>
      </c>
      <c r="F153" t="s">
        <v>18</v>
      </c>
      <c r="G153" t="s">
        <v>19</v>
      </c>
    </row>
    <row r="154" spans="1:7" x14ac:dyDescent="0.2">
      <c r="A154" t="s">
        <v>52</v>
      </c>
      <c r="B154">
        <v>10</v>
      </c>
      <c r="C154" t="s">
        <v>21</v>
      </c>
      <c r="D154" t="s">
        <v>59</v>
      </c>
      <c r="E154">
        <v>342.34794497489901</v>
      </c>
      <c r="F154">
        <v>150985</v>
      </c>
      <c r="G154">
        <v>680</v>
      </c>
    </row>
    <row r="155" spans="1:7" x14ac:dyDescent="0.2">
      <c r="A155" t="s">
        <v>0</v>
      </c>
      <c r="B155" t="s">
        <v>14</v>
      </c>
      <c r="C155" t="s">
        <v>15</v>
      </c>
      <c r="D155" t="s">
        <v>16</v>
      </c>
      <c r="E155" t="s">
        <v>17</v>
      </c>
      <c r="F155" t="s">
        <v>18</v>
      </c>
      <c r="G155" t="s">
        <v>19</v>
      </c>
    </row>
    <row r="156" spans="1:7" x14ac:dyDescent="0.2">
      <c r="A156" t="s">
        <v>53</v>
      </c>
      <c r="B156">
        <v>10</v>
      </c>
      <c r="C156" t="s">
        <v>21</v>
      </c>
      <c r="D156" t="s">
        <v>1</v>
      </c>
      <c r="E156">
        <v>600.00984406471196</v>
      </c>
      <c r="F156">
        <v>509385</v>
      </c>
      <c r="G156">
        <v>2857</v>
      </c>
    </row>
    <row r="157" spans="1:7" x14ac:dyDescent="0.2">
      <c r="A157" t="s">
        <v>0</v>
      </c>
      <c r="B157" t="s">
        <v>14</v>
      </c>
      <c r="C157" t="s">
        <v>15</v>
      </c>
      <c r="D157" t="s">
        <v>16</v>
      </c>
      <c r="E157" t="s">
        <v>17</v>
      </c>
      <c r="F157" t="s">
        <v>18</v>
      </c>
      <c r="G157" t="s">
        <v>19</v>
      </c>
    </row>
    <row r="158" spans="1:7" x14ac:dyDescent="0.2">
      <c r="A158" t="s">
        <v>53</v>
      </c>
      <c r="B158">
        <v>10</v>
      </c>
      <c r="C158" t="s">
        <v>21</v>
      </c>
      <c r="D158" t="s">
        <v>58</v>
      </c>
      <c r="E158">
        <v>600.02183198928799</v>
      </c>
      <c r="F158">
        <v>314800</v>
      </c>
      <c r="G158">
        <v>2630</v>
      </c>
    </row>
    <row r="159" spans="1:7" x14ac:dyDescent="0.2">
      <c r="A159" t="s">
        <v>0</v>
      </c>
      <c r="B159" t="s">
        <v>14</v>
      </c>
      <c r="C159" t="s">
        <v>15</v>
      </c>
      <c r="D159" t="s">
        <v>16</v>
      </c>
      <c r="E159" t="s">
        <v>17</v>
      </c>
      <c r="F159" t="s">
        <v>18</v>
      </c>
      <c r="G159" t="s">
        <v>19</v>
      </c>
    </row>
    <row r="160" spans="1:7" x14ac:dyDescent="0.2">
      <c r="A160" t="s">
        <v>53</v>
      </c>
      <c r="B160">
        <v>10</v>
      </c>
      <c r="C160" t="s">
        <v>21</v>
      </c>
      <c r="D160" t="s">
        <v>59</v>
      </c>
      <c r="E160">
        <v>600.02054905891396</v>
      </c>
      <c r="F160">
        <v>201200</v>
      </c>
      <c r="G160">
        <v>2306</v>
      </c>
    </row>
    <row r="161" spans="1:7" x14ac:dyDescent="0.2">
      <c r="A161" t="s">
        <v>0</v>
      </c>
      <c r="B161" t="s">
        <v>14</v>
      </c>
      <c r="C161" t="s">
        <v>15</v>
      </c>
      <c r="D161" t="s">
        <v>16</v>
      </c>
      <c r="E161" t="s">
        <v>17</v>
      </c>
      <c r="F161" t="s">
        <v>18</v>
      </c>
      <c r="G161" t="s">
        <v>19</v>
      </c>
    </row>
    <row r="162" spans="1:7" x14ac:dyDescent="0.2">
      <c r="A162" t="s">
        <v>54</v>
      </c>
      <c r="B162">
        <v>10</v>
      </c>
      <c r="C162" t="s">
        <v>21</v>
      </c>
      <c r="D162" t="s">
        <v>1</v>
      </c>
      <c r="E162">
        <v>600.00668811798096</v>
      </c>
      <c r="F162">
        <v>506154</v>
      </c>
      <c r="G162">
        <v>3969</v>
      </c>
    </row>
    <row r="163" spans="1:7" x14ac:dyDescent="0.2">
      <c r="A163" t="s">
        <v>0</v>
      </c>
      <c r="B163" t="s">
        <v>14</v>
      </c>
      <c r="C163" t="s">
        <v>15</v>
      </c>
      <c r="D163" t="s">
        <v>16</v>
      </c>
      <c r="E163" t="s">
        <v>17</v>
      </c>
      <c r="F163" t="s">
        <v>18</v>
      </c>
      <c r="G163" t="s">
        <v>19</v>
      </c>
    </row>
    <row r="164" spans="1:7" x14ac:dyDescent="0.2">
      <c r="A164" t="s">
        <v>54</v>
      </c>
      <c r="B164">
        <v>10</v>
      </c>
      <c r="C164" t="s">
        <v>21</v>
      </c>
      <c r="D164" t="s">
        <v>58</v>
      </c>
      <c r="E164">
        <v>600.01026320457402</v>
      </c>
      <c r="F164">
        <v>301300</v>
      </c>
      <c r="G164">
        <v>851</v>
      </c>
    </row>
    <row r="165" spans="1:7" x14ac:dyDescent="0.2">
      <c r="A165" t="s">
        <v>0</v>
      </c>
      <c r="B165" t="s">
        <v>14</v>
      </c>
      <c r="C165" t="s">
        <v>15</v>
      </c>
      <c r="D165" t="s">
        <v>16</v>
      </c>
      <c r="E165" t="s">
        <v>17</v>
      </c>
      <c r="F165" t="s">
        <v>18</v>
      </c>
      <c r="G165" t="s">
        <v>19</v>
      </c>
    </row>
    <row r="166" spans="1:7" x14ac:dyDescent="0.2">
      <c r="A166" t="s">
        <v>54</v>
      </c>
      <c r="B166">
        <v>10</v>
      </c>
      <c r="C166" t="s">
        <v>21</v>
      </c>
      <c r="D166" t="s">
        <v>59</v>
      </c>
      <c r="E166">
        <v>600.00494790077198</v>
      </c>
      <c r="F166">
        <v>204845</v>
      </c>
      <c r="G166">
        <v>1034</v>
      </c>
    </row>
    <row r="167" spans="1:7" x14ac:dyDescent="0.2">
      <c r="A167" t="s">
        <v>0</v>
      </c>
      <c r="B167" t="s">
        <v>14</v>
      </c>
      <c r="C167" t="s">
        <v>15</v>
      </c>
      <c r="D167" t="s">
        <v>16</v>
      </c>
      <c r="E167" t="s">
        <v>17</v>
      </c>
      <c r="F167" t="s">
        <v>18</v>
      </c>
      <c r="G167" t="s">
        <v>19</v>
      </c>
    </row>
    <row r="168" spans="1:7" x14ac:dyDescent="0.2">
      <c r="A168" t="s">
        <v>55</v>
      </c>
      <c r="B168">
        <v>10</v>
      </c>
      <c r="C168" t="s">
        <v>21</v>
      </c>
      <c r="D168" t="s">
        <v>1</v>
      </c>
      <c r="E168">
        <v>600.01017808914105</v>
      </c>
      <c r="F168">
        <v>452200</v>
      </c>
      <c r="G168">
        <v>3028</v>
      </c>
    </row>
    <row r="169" spans="1:7" x14ac:dyDescent="0.2">
      <c r="A169" t="s">
        <v>0</v>
      </c>
      <c r="B169" t="s">
        <v>14</v>
      </c>
      <c r="C169" t="s">
        <v>15</v>
      </c>
      <c r="D169" t="s">
        <v>16</v>
      </c>
      <c r="E169" t="s">
        <v>17</v>
      </c>
      <c r="F169" t="s">
        <v>18</v>
      </c>
      <c r="G169" t="s">
        <v>19</v>
      </c>
    </row>
    <row r="170" spans="1:7" x14ac:dyDescent="0.2">
      <c r="A170" t="s">
        <v>55</v>
      </c>
      <c r="B170">
        <v>10</v>
      </c>
      <c r="C170" t="s">
        <v>21</v>
      </c>
      <c r="D170" t="s">
        <v>58</v>
      </c>
      <c r="E170">
        <v>301.74605011940002</v>
      </c>
      <c r="F170">
        <v>189577</v>
      </c>
      <c r="G170">
        <v>749</v>
      </c>
    </row>
    <row r="171" spans="1:7" x14ac:dyDescent="0.2">
      <c r="A171" t="s">
        <v>0</v>
      </c>
      <c r="B171" t="s">
        <v>14</v>
      </c>
      <c r="C171" t="s">
        <v>15</v>
      </c>
      <c r="D171" t="s">
        <v>16</v>
      </c>
      <c r="E171" t="s">
        <v>17</v>
      </c>
      <c r="F171" t="s">
        <v>18</v>
      </c>
      <c r="G171" t="s">
        <v>19</v>
      </c>
    </row>
    <row r="172" spans="1:7" x14ac:dyDescent="0.2">
      <c r="A172" t="s">
        <v>55</v>
      </c>
      <c r="B172">
        <v>10</v>
      </c>
      <c r="C172" t="s">
        <v>21</v>
      </c>
      <c r="D172" t="s">
        <v>59</v>
      </c>
      <c r="E172">
        <v>419.865931987762</v>
      </c>
      <c r="F172">
        <v>179051</v>
      </c>
      <c r="G172">
        <v>741</v>
      </c>
    </row>
    <row r="173" spans="1:7" x14ac:dyDescent="0.2">
      <c r="A173" t="s">
        <v>0</v>
      </c>
      <c r="B173" t="s">
        <v>14</v>
      </c>
      <c r="C173" t="s">
        <v>15</v>
      </c>
      <c r="D173" t="s">
        <v>16</v>
      </c>
      <c r="E173" t="s">
        <v>17</v>
      </c>
      <c r="F173" t="s">
        <v>18</v>
      </c>
      <c r="G173" t="s">
        <v>19</v>
      </c>
    </row>
    <row r="174" spans="1:7" x14ac:dyDescent="0.2">
      <c r="A174" t="s">
        <v>46</v>
      </c>
      <c r="B174">
        <v>400</v>
      </c>
      <c r="C174" t="s">
        <v>21</v>
      </c>
      <c r="D174" t="s">
        <v>1</v>
      </c>
      <c r="E174">
        <v>600.00350689888</v>
      </c>
      <c r="F174">
        <v>717732</v>
      </c>
      <c r="G174">
        <v>1000</v>
      </c>
    </row>
  </sheetData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4DB5-CE7F-9B46-B8C6-71634D8F2CC8}">
  <dimension ref="B1:O9"/>
  <sheetViews>
    <sheetView workbookViewId="0">
      <selection activeCell="E5" sqref="E5"/>
    </sheetView>
  </sheetViews>
  <sheetFormatPr baseColWidth="10" defaultRowHeight="16" x14ac:dyDescent="0.2"/>
  <sheetData>
    <row r="1" spans="2:15" x14ac:dyDescent="0.2">
      <c r="E1" t="s">
        <v>2</v>
      </c>
    </row>
    <row r="2" spans="2:15" x14ac:dyDescent="0.2">
      <c r="E2" t="s">
        <v>1</v>
      </c>
      <c r="H2" t="s">
        <v>58</v>
      </c>
      <c r="K2" t="s">
        <v>59</v>
      </c>
    </row>
    <row r="3" spans="2:15" x14ac:dyDescent="0.2">
      <c r="B3" t="s">
        <v>0</v>
      </c>
      <c r="C3" t="s">
        <v>63</v>
      </c>
      <c r="D3" t="s">
        <v>9</v>
      </c>
      <c r="E3" t="s">
        <v>4</v>
      </c>
      <c r="F3" t="s">
        <v>5</v>
      </c>
      <c r="G3" t="s">
        <v>6</v>
      </c>
      <c r="H3" t="s">
        <v>4</v>
      </c>
      <c r="I3" t="s">
        <v>5</v>
      </c>
      <c r="J3" t="s">
        <v>6</v>
      </c>
      <c r="K3" t="s">
        <v>4</v>
      </c>
      <c r="L3" t="s">
        <v>5</v>
      </c>
      <c r="M3" t="s">
        <v>6</v>
      </c>
      <c r="N3" t="s">
        <v>62</v>
      </c>
    </row>
    <row r="4" spans="2:15" x14ac:dyDescent="0.2">
      <c r="B4" t="s">
        <v>11</v>
      </c>
      <c r="C4">
        <v>200</v>
      </c>
      <c r="D4">
        <v>10</v>
      </c>
      <c r="E4" s="1">
        <f>AVERAGEIFS('200_+l'!L:L,'200_+l'!$K:$K,Overall_l!$D4, '200_+l'!J:J, Overall_l!$C4)</f>
        <v>461.96856200968716</v>
      </c>
      <c r="F4">
        <f>AVERAGEIFS('200_+l'!M:M,'200_+l'!$K:$K,Overall_l!$D4, '200_+l'!J:J, Overall_l!$C4)</f>
        <v>342172.5</v>
      </c>
      <c r="G4">
        <f>AVERAGEIFS('200_+l'!N:N,'200_+l'!$K:$K,Overall_l!$D4, '200_+l'!J:J, Overall_l!$C4)</f>
        <v>2546.9</v>
      </c>
      <c r="H4" s="4">
        <f>AVERAGEIFS('200_+l'!O:O,'200_+l'!$K:$K,Overall_l!$D4, '200_+l'!J:J, Overall_l!$C4)</f>
        <v>134.17848548666004</v>
      </c>
      <c r="I4">
        <f>AVERAGEIFS('200_+l'!P:P,'200_+l'!$K:$K,Overall_l!$D4, '200_+l'!J:J, Overall_l!$C4)</f>
        <v>79932.800000000003</v>
      </c>
      <c r="J4">
        <f>AVERAGEIFS('200_+l'!Q:Q,'200_+l'!$K:$K,Overall_l!$D4, '200_+l'!J:J, Overall_l!$C4)</f>
        <v>451.1</v>
      </c>
      <c r="K4" s="1">
        <f>AVERAGEIFS('200_+l'!R:R,'200_+l'!$K:$K,Overall_l!$D4, '200_+l'!J:J, Overall_l!$C4)</f>
        <v>125.15462038445635</v>
      </c>
      <c r="L4">
        <f>AVERAGEIFS('200_+l'!S:S,'200_+l'!$K:$K,Overall_l!$D4, '200_+l'!J:J, Overall_l!$C4)</f>
        <v>57873.7</v>
      </c>
      <c r="M4">
        <f>AVERAGEIFS('200_+l'!T:T,'200_+l'!$K:$K,Overall_l!$D4, '200_+l'!J:J, Overall_l!$C4)</f>
        <v>345.3</v>
      </c>
      <c r="N4">
        <f>10-COUNTIFS('200_+'!T:T,"&lt;600.00",'200_+'!$J:$J,Overall!$C6)</f>
        <v>0</v>
      </c>
      <c r="O4" t="str">
        <f>CONCATENATE(B4," &amp; ",D4, " &amp; ", ROUND(E4,2), " &amp; ", F4, " &amp; ", G4, " &amp; ", ROUND(H4,2), " &amp; ", I4, " &amp; ", J4, " &amp; ",  ROUND(K4,2), " &amp; ", L4, " &amp; ", M4,  "\\")</f>
        <v>200+ &amp; 10 &amp; 461.97 &amp; 342172.5 &amp; 2546.9 &amp; 134.18 &amp; 79932.8 &amp; 451.1 &amp; 125.15 &amp; 57873.7 &amp; 345.3\\</v>
      </c>
    </row>
    <row r="5" spans="2:15" x14ac:dyDescent="0.2">
      <c r="B5" t="s">
        <v>11</v>
      </c>
      <c r="C5">
        <v>200</v>
      </c>
      <c r="D5">
        <v>200</v>
      </c>
      <c r="E5" s="1">
        <f>AVERAGEIFS('200_+l'!L:L,'200_+l'!$K:$K,Overall_l!$D5, '200_+l'!J:J, Overall_l!$C5)</f>
        <v>593.51543001610048</v>
      </c>
      <c r="F5">
        <f>AVERAGEIFS('200_+l'!M:M,'200_+l'!$K:$K,Overall_l!$D5, '200_+l'!J:J, Overall_l!$C5)</f>
        <v>1113991.8</v>
      </c>
      <c r="G5">
        <f>AVERAGEIFS('200_+l'!N:N,'200_+l'!$K:$K,Overall_l!$D5, '200_+l'!J:J, Overall_l!$C5)</f>
        <v>1142.8</v>
      </c>
      <c r="H5" s="4">
        <f>AVERAGEIFS('200_+l'!O:O,'200_+l'!$K:$K,Overall_l!$D5, '200_+l'!J:J, Overall_l!$C5)</f>
        <v>600.01367718688186</v>
      </c>
      <c r="I5">
        <f>AVERAGEIFS('200_+l'!P:P,'200_+l'!$K:$K,Overall_l!$D5, '200_+l'!J:J, Overall_l!$C5)</f>
        <v>473557.9</v>
      </c>
      <c r="J5">
        <f>AVERAGEIFS('200_+l'!Q:Q,'200_+l'!$K:$K,Overall_l!$D5, '200_+l'!J:J, Overall_l!$C5)</f>
        <v>796.7</v>
      </c>
      <c r="K5" s="1">
        <f>AVERAGEIFS('200_+l'!R:R,'200_+l'!$K:$K,Overall_l!$D5, '200_+l'!J:J, Overall_l!$C5)</f>
        <v>592.99682663740725</v>
      </c>
      <c r="L5">
        <f>AVERAGEIFS('200_+l'!S:S,'200_+l'!$K:$K,Overall_l!$D5, '200_+l'!J:J, Overall_l!$C5)</f>
        <v>402922.5</v>
      </c>
      <c r="M5">
        <f>AVERAGEIFS('200_+l'!T:T,'200_+l'!$K:$K,Overall_l!$D5, '200_+l'!J:J, Overall_l!$C5)</f>
        <v>702.3</v>
      </c>
      <c r="N5">
        <f>10-COUNTIFS('200_+'!T:T,"&lt;600.00",'200_+'!$J:$J,Overall!$C8)</f>
        <v>9</v>
      </c>
      <c r="O5" t="str">
        <f t="shared" ref="O5:O9" si="0">CONCATENATE(B5," &amp; ",D5, " &amp; ", ROUND(E5,2), " &amp; ", F5, " &amp; ", G5, " &amp; ", ROUND(H5,2), " &amp; ", I5, " &amp; ", J5, " &amp; ",  ROUND(K5,2), " &amp; ", L5, " &amp; ", M5,  "\\")</f>
        <v>200+ &amp; 200 &amp; 593.52 &amp; 1113991.8 &amp; 1142.8 &amp; 600.01 &amp; 473557.9 &amp; 796.7 &amp; 593 &amp; 402922.5 &amp; 702.3\\</v>
      </c>
    </row>
    <row r="6" spans="2:15" x14ac:dyDescent="0.2">
      <c r="B6" t="s">
        <v>44</v>
      </c>
      <c r="C6">
        <v>300</v>
      </c>
      <c r="D6">
        <v>10</v>
      </c>
      <c r="E6" s="1">
        <f>AVERAGEIFS('200_+l'!L:L,'200_+l'!$K:$K,Overall_l!$D6, '200_+l'!J:J, Overall_l!$C6)</f>
        <v>0</v>
      </c>
      <c r="F6">
        <f>AVERAGEIFS('200_+l'!M:M,'200_+l'!$K:$K,Overall_l!$D6, '200_+l'!J:J, Overall_l!$C6)</f>
        <v>0</v>
      </c>
      <c r="G6">
        <f>AVERAGEIFS('200_+l'!N:N,'200_+l'!$K:$K,Overall_l!$D6, '200_+l'!J:J, Overall_l!$C6)</f>
        <v>0</v>
      </c>
      <c r="H6" s="4">
        <f>AVERAGEIFS('200_+l'!O:O,'200_+l'!$K:$K,Overall_l!$D6, '200_+l'!J:J, Overall_l!$C6)</f>
        <v>0</v>
      </c>
      <c r="I6">
        <f>AVERAGEIFS('200_+l'!P:P,'200_+l'!$K:$K,Overall_l!$D6, '200_+l'!J:J, Overall_l!$C6)</f>
        <v>0</v>
      </c>
      <c r="J6">
        <f>AVERAGEIFS('200_+l'!Q:Q,'200_+l'!$K:$K,Overall_l!$D6, '200_+l'!J:J, Overall_l!$C6)</f>
        <v>0</v>
      </c>
      <c r="K6" s="1">
        <f>AVERAGEIFS('200_+l'!R:R,'200_+l'!$K:$K,Overall_l!$D6, '200_+l'!J:J, Overall_l!$C6)</f>
        <v>0</v>
      </c>
      <c r="L6">
        <f>AVERAGEIFS('200_+l'!S:S,'200_+l'!$K:$K,Overall_l!$D6, '200_+l'!J:J, Overall_l!$C6)</f>
        <v>0</v>
      </c>
      <c r="M6">
        <f>AVERAGEIFS('200_+l'!T:T,'200_+l'!$K:$K,Overall_l!$D6, '200_+l'!J:J, Overall_l!$C6)</f>
        <v>0</v>
      </c>
      <c r="N6">
        <f>10-COUNTIFS('300_+'!T:T,"&lt;600.00",'300_+'!$J:$J,Overall!$C11)</f>
        <v>5</v>
      </c>
      <c r="O6" t="str">
        <f t="shared" si="0"/>
        <v>300+ &amp; 10 &amp; 0 &amp; 0 &amp; 0 &amp; 0 &amp; 0 &amp; 0 &amp; 0 &amp; 0 &amp; 0\\</v>
      </c>
    </row>
    <row r="7" spans="2:15" x14ac:dyDescent="0.2">
      <c r="B7" t="s">
        <v>44</v>
      </c>
      <c r="C7">
        <v>300</v>
      </c>
      <c r="D7">
        <v>300</v>
      </c>
      <c r="E7" s="1">
        <f>AVERAGEIFS('200_+l'!L:L,'200_+l'!$K:$K,Overall_l!$D7, '200_+l'!J:J, Overall_l!$C7)</f>
        <v>0</v>
      </c>
      <c r="F7">
        <f>AVERAGEIFS('200_+l'!M:M,'200_+l'!$K:$K,Overall_l!$D7, '200_+l'!J:J, Overall_l!$C7)</f>
        <v>0</v>
      </c>
      <c r="G7">
        <f>AVERAGEIFS('200_+l'!N:N,'200_+l'!$K:$K,Overall_l!$D7, '200_+l'!J:J, Overall_l!$C7)</f>
        <v>0</v>
      </c>
      <c r="H7" s="4">
        <f>AVERAGEIFS('200_+l'!O:O,'200_+l'!$K:$K,Overall_l!$D7, '200_+l'!J:J, Overall_l!$C7)</f>
        <v>0</v>
      </c>
      <c r="I7">
        <f>AVERAGEIFS('200_+l'!P:P,'200_+l'!$K:$K,Overall_l!$D7, '200_+l'!J:J, Overall_l!$C7)</f>
        <v>0</v>
      </c>
      <c r="J7">
        <f>AVERAGEIFS('200_+l'!Q:Q,'200_+l'!$K:$K,Overall_l!$D7, '200_+l'!J:J, Overall_l!$C7)</f>
        <v>0</v>
      </c>
      <c r="K7" s="1">
        <f>AVERAGEIFS('200_+l'!R:R,'200_+l'!$K:$K,Overall_l!$D7, '200_+l'!J:J, Overall_l!$C7)</f>
        <v>0</v>
      </c>
      <c r="L7">
        <f>AVERAGEIFS('200_+l'!S:S,'200_+l'!$K:$K,Overall_l!$D7, '200_+l'!J:J, Overall_l!$C7)</f>
        <v>0</v>
      </c>
      <c r="M7">
        <f>AVERAGEIFS('200_+l'!T:T,'200_+l'!$K:$K,Overall_l!$D7, '200_+l'!J:J, Overall_l!$C7)</f>
        <v>0</v>
      </c>
      <c r="N7">
        <f>10-COUNTIFS('300_+'!T:T,"&lt;600.00",'300_+'!$J:$J,Overall!$C13)</f>
        <v>10</v>
      </c>
      <c r="O7" t="str">
        <f t="shared" si="0"/>
        <v>300+ &amp; 300 &amp; 0 &amp; 0 &amp; 0 &amp; 0 &amp; 0 &amp; 0 &amp; 0 &amp; 0 &amp; 0\\</v>
      </c>
    </row>
    <row r="8" spans="2:15" x14ac:dyDescent="0.2">
      <c r="B8" t="s">
        <v>56</v>
      </c>
      <c r="C8">
        <v>400</v>
      </c>
      <c r="D8">
        <v>10</v>
      </c>
      <c r="E8" s="1">
        <f>AVERAGEIFS('200_+l'!L:L,'200_+l'!$K:$K,Overall_l!$D8, '200_+l'!J:J, Overall_l!$C8)</f>
        <v>508.81475923061333</v>
      </c>
      <c r="F8">
        <f>AVERAGEIFS('200_+l'!M:M,'200_+l'!$K:$K,Overall_l!$D8, '200_+l'!J:J, Overall_l!$C8)</f>
        <v>383619.1</v>
      </c>
      <c r="G8">
        <f>AVERAGEIFS('200_+l'!N:N,'200_+l'!$K:$K,Overall_l!$D8, '200_+l'!J:J, Overall_l!$C8)</f>
        <v>2756.7</v>
      </c>
      <c r="H8" s="4">
        <f>AVERAGEIFS('200_+l'!O:O,'200_+l'!$K:$K,Overall_l!$D8, '200_+l'!J:J, Overall_l!$C8)</f>
        <v>435.12705147266354</v>
      </c>
      <c r="I8">
        <f>AVERAGEIFS('200_+l'!P:P,'200_+l'!$K:$K,Overall_l!$D8, '200_+l'!J:J, Overall_l!$C8)</f>
        <v>232535.9</v>
      </c>
      <c r="J8">
        <f>AVERAGEIFS('200_+l'!Q:Q,'200_+l'!$K:$K,Overall_l!$D8, '200_+l'!J:J, Overall_l!$C8)</f>
        <v>1326.6</v>
      </c>
      <c r="K8" s="1">
        <f>AVERAGEIFS('200_+l'!R:R,'200_+l'!$K:$K,Overall_l!$D8, '200_+l'!J:J, Overall_l!$C8)</f>
        <v>453.29656219482388</v>
      </c>
      <c r="L8">
        <f>AVERAGEIFS('200_+l'!S:S,'200_+l'!$K:$K,Overall_l!$D8, '200_+l'!J:J, Overall_l!$C8)</f>
        <v>168168.6</v>
      </c>
      <c r="M8">
        <f>AVERAGEIFS('200_+l'!T:T,'200_+l'!$K:$K,Overall_l!$D8, '200_+l'!J:J, Overall_l!$C8)</f>
        <v>1140.3</v>
      </c>
      <c r="N8">
        <f>10-COUNTIFS('400_+'!T:T,"&lt;600.00",'400_+'!$J:$J,Overall!$C16)</f>
        <v>8</v>
      </c>
      <c r="O8" t="str">
        <f t="shared" si="0"/>
        <v>400+ &amp; 10 &amp; 508.81 &amp; 383619.1 &amp; 2756.7 &amp; 435.13 &amp; 232535.9 &amp; 1326.6 &amp; 453.3 &amp; 168168.6 &amp; 1140.3\\</v>
      </c>
    </row>
    <row r="9" spans="2:15" x14ac:dyDescent="0.2">
      <c r="B9" t="s">
        <v>56</v>
      </c>
      <c r="C9">
        <v>400</v>
      </c>
      <c r="D9">
        <v>400</v>
      </c>
      <c r="E9" s="1">
        <f>AVERAGEIFS('200_+l'!L:L,'200_+l'!$K:$K,Overall_l!$D9, '200_+l'!J:J, Overall_l!$C9)</f>
        <v>60.000350689888002</v>
      </c>
      <c r="F9">
        <f>AVERAGEIFS('200_+l'!M:M,'200_+l'!$K:$K,Overall_l!$D9, '200_+l'!J:J, Overall_l!$C9)</f>
        <v>71773.2</v>
      </c>
      <c r="G9">
        <f>AVERAGEIFS('200_+l'!N:N,'200_+l'!$K:$K,Overall_l!$D9, '200_+l'!J:J, Overall_l!$C9)</f>
        <v>100</v>
      </c>
      <c r="H9" s="4">
        <f>AVERAGEIFS('200_+l'!O:O,'200_+l'!$K:$K,Overall_l!$D9, '200_+l'!J:J, Overall_l!$C9)</f>
        <v>0</v>
      </c>
      <c r="I9">
        <f>AVERAGEIFS('200_+l'!P:P,'200_+l'!$K:$K,Overall_l!$D9, '200_+l'!J:J, Overall_l!$C9)</f>
        <v>0</v>
      </c>
      <c r="J9">
        <f>AVERAGEIFS('200_+l'!Q:Q,'200_+l'!$K:$K,Overall_l!$D9, '200_+l'!J:J, Overall_l!$C9)</f>
        <v>0</v>
      </c>
      <c r="K9" s="1">
        <f>AVERAGEIFS('200_+l'!R:R,'200_+l'!$K:$K,Overall_l!$D9, '200_+l'!J:J, Overall_l!$C9)</f>
        <v>0</v>
      </c>
      <c r="L9">
        <f>AVERAGEIFS('200_+l'!S:S,'200_+l'!$K:$K,Overall_l!$D9, '200_+l'!J:J, Overall_l!$C9)</f>
        <v>0</v>
      </c>
      <c r="M9">
        <f>AVERAGEIFS('200_+l'!T:T,'200_+l'!$K:$K,Overall_l!$D9, '200_+l'!J:J, Overall_l!$C9)</f>
        <v>0</v>
      </c>
      <c r="N9">
        <f>10-COUNTIFS('400_+'!T:T,"&lt;600.00",'400_+'!$J:$J,Overall!$C18)</f>
        <v>10</v>
      </c>
      <c r="O9" t="str">
        <f t="shared" si="0"/>
        <v>400+ &amp; 400 &amp; 60 &amp; 71773.2 &amp; 100 &amp; 0 &amp; 0 &amp; 0 &amp; 0 &amp; 0 &amp; 0\\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228E-86F2-3444-9FB2-E51782478623}">
  <dimension ref="A1:Z382"/>
  <sheetViews>
    <sheetView tabSelected="1" topLeftCell="A332" zoomScale="140" zoomScaleNormal="140" workbookViewId="0">
      <selection activeCell="A344" sqref="A344:G346"/>
    </sheetView>
  </sheetViews>
  <sheetFormatPr baseColWidth="10" defaultRowHeight="16" x14ac:dyDescent="0.2"/>
  <cols>
    <col min="23" max="23" width="11.1640625" bestFit="1" customWidth="1"/>
    <col min="24" max="24" width="12.83203125" bestFit="1" customWidth="1"/>
    <col min="26" max="26" width="43.5" bestFit="1" customWidth="1"/>
  </cols>
  <sheetData>
    <row r="1" spans="1:26" x14ac:dyDescent="0.2">
      <c r="A1" t="s">
        <v>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10</v>
      </c>
      <c r="I1" t="s">
        <v>45</v>
      </c>
      <c r="J1" t="s">
        <v>64</v>
      </c>
      <c r="K1" t="s">
        <v>2</v>
      </c>
    </row>
    <row r="2" spans="1:26" x14ac:dyDescent="0.2">
      <c r="A2" t="s">
        <v>46</v>
      </c>
      <c r="B2">
        <v>6</v>
      </c>
      <c r="C2" t="s">
        <v>21</v>
      </c>
      <c r="D2" t="s">
        <v>1</v>
      </c>
      <c r="E2">
        <v>600.03619000000003</v>
      </c>
      <c r="F2">
        <v>143774</v>
      </c>
      <c r="G2">
        <v>10653</v>
      </c>
      <c r="K2" t="s">
        <v>1</v>
      </c>
      <c r="N2" t="s">
        <v>60</v>
      </c>
      <c r="Q2" t="s">
        <v>61</v>
      </c>
      <c r="T2" t="s">
        <v>3</v>
      </c>
      <c r="W2" t="s">
        <v>12</v>
      </c>
      <c r="X2" t="s">
        <v>8</v>
      </c>
      <c r="Z2" t="s">
        <v>13</v>
      </c>
    </row>
    <row r="3" spans="1:26" x14ac:dyDescent="0.2">
      <c r="A3" t="s">
        <v>0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I3" t="s">
        <v>0</v>
      </c>
      <c r="J3" t="s">
        <v>9</v>
      </c>
      <c r="K3" t="s">
        <v>4</v>
      </c>
      <c r="L3" t="s">
        <v>5</v>
      </c>
      <c r="M3" t="s">
        <v>6</v>
      </c>
      <c r="N3" t="s">
        <v>4</v>
      </c>
      <c r="O3" t="s">
        <v>5</v>
      </c>
      <c r="P3" t="s">
        <v>6</v>
      </c>
      <c r="Q3" t="s">
        <v>4</v>
      </c>
      <c r="R3" t="s">
        <v>5</v>
      </c>
      <c r="S3" t="s">
        <v>6</v>
      </c>
      <c r="T3" t="s">
        <v>7</v>
      </c>
      <c r="U3" t="s">
        <v>5</v>
      </c>
    </row>
    <row r="4" spans="1:26" x14ac:dyDescent="0.2">
      <c r="A4" t="s">
        <v>46</v>
      </c>
      <c r="B4">
        <v>6</v>
      </c>
      <c r="C4" t="s">
        <v>21</v>
      </c>
      <c r="D4" t="s">
        <v>58</v>
      </c>
      <c r="E4">
        <v>600.04725099999996</v>
      </c>
      <c r="F4">
        <v>217200</v>
      </c>
      <c r="G4">
        <v>9671</v>
      </c>
      <c r="I4" t="str">
        <f>CONCATENATE($I$1,"1")</f>
        <v>pard400_1</v>
      </c>
      <c r="J4">
        <v>6</v>
      </c>
      <c r="K4" s="1">
        <f t="shared" ref="K4:K35" si="0">SUMIFS(E:E,D:D,"OA",B:B,J4,A:A,I4)</f>
        <v>600.03619000000003</v>
      </c>
      <c r="L4">
        <f t="shared" ref="L4:L35" si="1">SUMIFS(F:F,A:A,I4,B:B,J4,D:D,"OA")</f>
        <v>143774</v>
      </c>
      <c r="M4">
        <f t="shared" ref="M4:M35" si="2">SUMIFS(G:G,D:D,"OA",A:A,I4,B:B,J4)</f>
        <v>10653</v>
      </c>
      <c r="N4" s="1">
        <f t="shared" ref="N4:N35" si="3">SUMIFS(E:E,D:D,"OA Kelley",B:B,J4,A:A,I4)</f>
        <v>600.04725099999996</v>
      </c>
      <c r="O4">
        <f t="shared" ref="O4:O35" si="4">SUMIFS(F:F,A:A,I4,B:B,J4,D:D,"OA Kelley")</f>
        <v>217200</v>
      </c>
      <c r="P4">
        <f t="shared" ref="P4:P35" si="5">SUMIFS(G:G,D:D,"OA Kelley",A:A,I4,B:B,J4)</f>
        <v>9671</v>
      </c>
      <c r="Q4" s="1">
        <f t="shared" ref="Q4:Q35" si="6">SUMIFS(E:E,D:D,"OA Kelley 50",B:B,J4,A:A,I4)</f>
        <v>600.00979710000001</v>
      </c>
      <c r="R4">
        <f t="shared" ref="R4:R35" si="7">SUMIFS(F:F,A:A,I4,B:B,J4,D:D,"OA Kelley 50")</f>
        <v>120848</v>
      </c>
      <c r="S4">
        <f t="shared" ref="S4:S35" si="8">SUMIFS(G:G,D:D,"OA Kelley 50",A:A,I4,B:B,J4)</f>
        <v>7530</v>
      </c>
      <c r="T4" s="1">
        <f t="shared" ref="T4:T35" si="9">SUMIFS(E:E,A:A,I4,B:B,J4,D:D,"CPLEX MISOCP")</f>
        <v>600.00811720000002</v>
      </c>
      <c r="U4">
        <f t="shared" ref="U4:U35" si="10">SUMIFS(F:F,A:A,I4,B:B,J4,D:D,"CPLEX MISOCP")</f>
        <v>700</v>
      </c>
      <c r="W4">
        <f t="shared" ref="W4:W35" si="11">COUNTIFS(D:D,"OA",B:B,J4,A:A,I4)</f>
        <v>1</v>
      </c>
      <c r="X4">
        <f t="shared" ref="X4:X35" si="12">COUNTIFS(D:D,"CPLEX MISOCP",B:B,J4,A:A,I4)</f>
        <v>1</v>
      </c>
      <c r="Z4" t="str">
        <f>CONCATENATE(I4," &amp; ",J4, " &amp; ", ROUND(K4,2), " &amp; ", L4, " &amp; ", M4, " &amp; ",  ROUND(N4,2), " &amp; ", O4, " &amp; ", P4, " &amp; ", ROUND(Q4,2), " &amp; ", R4, " &amp; ", S4, " &amp; ",  ROUND(T4,2), " &amp; ", U4, "\\")</f>
        <v>pard400_1 &amp; 6 &amp; 600.04 &amp; 143774 &amp; 10653 &amp; 600.05 &amp; 217200 &amp; 9671 &amp; 600.01 &amp; 120848 &amp; 7530 &amp; 600.01 &amp; 700\\</v>
      </c>
    </row>
    <row r="5" spans="1:26" x14ac:dyDescent="0.2">
      <c r="A5" t="s">
        <v>0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I5" t="str">
        <f t="shared" ref="I5:I8" si="13">CONCATENATE($I$1,"1")</f>
        <v>pard400_1</v>
      </c>
      <c r="J5">
        <v>8</v>
      </c>
      <c r="K5" s="1">
        <f t="shared" si="0"/>
        <v>600.03322790000004</v>
      </c>
      <c r="L5">
        <f t="shared" si="1"/>
        <v>94905</v>
      </c>
      <c r="M5">
        <f t="shared" si="2"/>
        <v>11830</v>
      </c>
      <c r="N5" s="1">
        <f t="shared" si="3"/>
        <v>400.63478709999998</v>
      </c>
      <c r="O5">
        <f t="shared" si="4"/>
        <v>118339</v>
      </c>
      <c r="P5">
        <f t="shared" si="5"/>
        <v>6461</v>
      </c>
      <c r="Q5" s="1">
        <f t="shared" si="6"/>
        <v>600.01056600000004</v>
      </c>
      <c r="R5">
        <f t="shared" si="7"/>
        <v>106917</v>
      </c>
      <c r="S5">
        <f t="shared" si="8"/>
        <v>7822</v>
      </c>
      <c r="T5" s="1">
        <f t="shared" si="9"/>
        <v>600.0057769</v>
      </c>
      <c r="U5">
        <f t="shared" si="10"/>
        <v>600</v>
      </c>
      <c r="W5">
        <f t="shared" si="11"/>
        <v>1</v>
      </c>
      <c r="X5">
        <f t="shared" si="12"/>
        <v>1</v>
      </c>
      <c r="Z5" t="str">
        <f t="shared" ref="Z5:Z7" si="14">CONCATENATE(I5," &amp; ",J5, " &amp; ", ROUND(K5,2), " &amp; ", L5, " &amp; ", M5, " &amp; ",  ROUND(N5,2), " &amp; ", O5, " &amp; ", P5, " &amp; ", ROUND(Q5,2), " &amp; ", R5, " &amp; ", S5, " &amp; ",  ROUND(T5,2), " &amp; ", U5, "\\")</f>
        <v>pard400_1 &amp; 8 &amp; 600.03 &amp; 94905 &amp; 11830 &amp; 400.63 &amp; 118339 &amp; 6461 &amp; 600.01 &amp; 106917 &amp; 7822 &amp; 600.01 &amp; 600\\</v>
      </c>
    </row>
    <row r="6" spans="1:26" x14ac:dyDescent="0.2">
      <c r="A6" t="s">
        <v>46</v>
      </c>
      <c r="B6">
        <v>6</v>
      </c>
      <c r="C6" t="s">
        <v>21</v>
      </c>
      <c r="D6" t="s">
        <v>59</v>
      </c>
      <c r="E6">
        <v>600.00979710000001</v>
      </c>
      <c r="F6">
        <v>120848</v>
      </c>
      <c r="G6">
        <v>7530</v>
      </c>
      <c r="I6" t="str">
        <f t="shared" si="13"/>
        <v>pard400_1</v>
      </c>
      <c r="J6">
        <v>10</v>
      </c>
      <c r="K6" s="1">
        <f t="shared" si="0"/>
        <v>600.09218480000004</v>
      </c>
      <c r="L6">
        <f t="shared" si="1"/>
        <v>173001</v>
      </c>
      <c r="M6">
        <f t="shared" si="2"/>
        <v>10016</v>
      </c>
      <c r="N6" s="1">
        <f t="shared" si="3"/>
        <v>600.04920200000004</v>
      </c>
      <c r="O6">
        <f t="shared" si="4"/>
        <v>71048</v>
      </c>
      <c r="P6">
        <f t="shared" si="5"/>
        <v>10336</v>
      </c>
      <c r="Q6" s="1">
        <f t="shared" si="6"/>
        <v>600.02793220000001</v>
      </c>
      <c r="R6">
        <f t="shared" si="7"/>
        <v>63473</v>
      </c>
      <c r="S6">
        <f t="shared" si="8"/>
        <v>5422</v>
      </c>
      <c r="T6" s="1">
        <f t="shared" si="9"/>
        <v>600.01268289999996</v>
      </c>
      <c r="U6">
        <f t="shared" si="10"/>
        <v>700</v>
      </c>
      <c r="W6">
        <f t="shared" si="11"/>
        <v>1</v>
      </c>
      <c r="X6">
        <f t="shared" si="12"/>
        <v>1</v>
      </c>
      <c r="Z6" t="str">
        <f t="shared" si="14"/>
        <v>pard400_1 &amp; 10 &amp; 600.09 &amp; 173001 &amp; 10016 &amp; 600.05 &amp; 71048 &amp; 10336 &amp; 600.03 &amp; 63473 &amp; 5422 &amp; 600.01 &amp; 700\\</v>
      </c>
    </row>
    <row r="7" spans="1:26" x14ac:dyDescent="0.2">
      <c r="A7" t="s">
        <v>0</v>
      </c>
      <c r="B7" t="s">
        <v>14</v>
      </c>
      <c r="C7" t="s">
        <v>15</v>
      </c>
      <c r="D7" t="s">
        <v>16</v>
      </c>
      <c r="E7" t="s">
        <v>17</v>
      </c>
      <c r="I7" t="str">
        <f t="shared" si="13"/>
        <v>pard400_1</v>
      </c>
      <c r="J7">
        <v>12</v>
      </c>
      <c r="K7" s="1">
        <f t="shared" si="0"/>
        <v>600.04415080000001</v>
      </c>
      <c r="L7">
        <f t="shared" si="1"/>
        <v>223716</v>
      </c>
      <c r="M7">
        <f t="shared" si="2"/>
        <v>6852</v>
      </c>
      <c r="N7" s="1">
        <f t="shared" si="3"/>
        <v>600.0469501</v>
      </c>
      <c r="O7">
        <f t="shared" si="4"/>
        <v>68600</v>
      </c>
      <c r="P7">
        <f t="shared" si="5"/>
        <v>10508</v>
      </c>
      <c r="Q7" s="1">
        <f t="shared" si="6"/>
        <v>600.025125</v>
      </c>
      <c r="R7">
        <f t="shared" si="7"/>
        <v>42449</v>
      </c>
      <c r="S7">
        <f t="shared" si="8"/>
        <v>6632</v>
      </c>
      <c r="T7" s="1">
        <f t="shared" si="9"/>
        <v>600.01</v>
      </c>
      <c r="U7">
        <f t="shared" si="10"/>
        <v>686</v>
      </c>
      <c r="W7">
        <f t="shared" si="11"/>
        <v>1</v>
      </c>
      <c r="X7">
        <f t="shared" si="12"/>
        <v>1</v>
      </c>
      <c r="Z7" t="str">
        <f t="shared" si="14"/>
        <v>pard400_1 &amp; 12 &amp; 600.04 &amp; 223716 &amp; 6852 &amp; 600.05 &amp; 68600 &amp; 10508 &amp; 600.03 &amp; 42449 &amp; 6632 &amp; 600.01 &amp; 686\\</v>
      </c>
    </row>
    <row r="8" spans="1:26" x14ac:dyDescent="0.2">
      <c r="A8" t="s">
        <v>46</v>
      </c>
      <c r="B8">
        <v>6</v>
      </c>
      <c r="C8" t="s">
        <v>22</v>
      </c>
      <c r="D8" t="s">
        <v>23</v>
      </c>
      <c r="E8">
        <v>600.00811720000002</v>
      </c>
      <c r="F8">
        <v>700</v>
      </c>
      <c r="I8" t="str">
        <f t="shared" si="13"/>
        <v>pard400_1</v>
      </c>
      <c r="J8">
        <v>200</v>
      </c>
      <c r="K8" s="1">
        <f t="shared" si="0"/>
        <v>600.01961610000001</v>
      </c>
      <c r="L8">
        <f t="shared" si="1"/>
        <v>286584</v>
      </c>
      <c r="M8">
        <f t="shared" si="2"/>
        <v>8236</v>
      </c>
      <c r="N8" s="1">
        <f t="shared" si="3"/>
        <v>600.01880719999997</v>
      </c>
      <c r="O8">
        <f t="shared" si="4"/>
        <v>59070</v>
      </c>
      <c r="P8">
        <f t="shared" si="5"/>
        <v>12559</v>
      </c>
      <c r="Q8" s="1">
        <f t="shared" si="6"/>
        <v>600.0470219</v>
      </c>
      <c r="R8">
        <f t="shared" si="7"/>
        <v>53575</v>
      </c>
      <c r="S8">
        <f t="shared" si="8"/>
        <v>8221</v>
      </c>
      <c r="T8" s="1">
        <f t="shared" si="9"/>
        <v>600.00291800000002</v>
      </c>
      <c r="U8">
        <f t="shared" si="10"/>
        <v>800</v>
      </c>
      <c r="W8">
        <f t="shared" si="11"/>
        <v>1</v>
      </c>
      <c r="X8">
        <f t="shared" si="12"/>
        <v>1</v>
      </c>
      <c r="Z8" t="str">
        <f>CONCATENATE(I8," &amp; ","nc", " &amp; ", ROUND(K8,2), " &amp; ", L8, " &amp; ", M8, " &amp; ",  ROUND(N8,2), " &amp; ", O8, " &amp; ", P8, " &amp; ", ROUND(Q8,2), " &amp; ", R8, " &amp; ", S8, " &amp; ",  ROUND(T8,2), " &amp; ", U8, "\\")</f>
        <v>pard400_1 &amp; nc &amp; 600.02 &amp; 286584 &amp; 8236 &amp; 600.02 &amp; 59070 &amp; 12559 &amp; 600.05 &amp; 53575 &amp; 8221 &amp; 600 &amp; 800\\</v>
      </c>
    </row>
    <row r="9" spans="1:26" x14ac:dyDescent="0.2">
      <c r="A9" t="s">
        <v>0</v>
      </c>
      <c r="B9" t="s">
        <v>14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I9" t="str">
        <f>CONCATENATE($I$1,"2")</f>
        <v>pard400_2</v>
      </c>
      <c r="J9">
        <v>6</v>
      </c>
      <c r="K9" s="1">
        <f t="shared" si="0"/>
        <v>600.03891020000003</v>
      </c>
      <c r="L9">
        <f t="shared" si="1"/>
        <v>243595</v>
      </c>
      <c r="M9">
        <f t="shared" si="2"/>
        <v>10928</v>
      </c>
      <c r="N9" s="1">
        <f t="shared" si="3"/>
        <v>239.87642690000001</v>
      </c>
      <c r="O9">
        <f t="shared" si="4"/>
        <v>47183</v>
      </c>
      <c r="P9">
        <f t="shared" si="5"/>
        <v>8305</v>
      </c>
      <c r="Q9" s="1">
        <f t="shared" si="6"/>
        <v>600.01416300000005</v>
      </c>
      <c r="R9">
        <f t="shared" si="7"/>
        <v>90455</v>
      </c>
      <c r="S9">
        <f t="shared" si="8"/>
        <v>8538</v>
      </c>
      <c r="T9" s="1">
        <f t="shared" si="9"/>
        <v>600.00430300000005</v>
      </c>
      <c r="U9">
        <f t="shared" si="10"/>
        <v>500</v>
      </c>
      <c r="W9">
        <f t="shared" si="11"/>
        <v>1</v>
      </c>
      <c r="X9">
        <f t="shared" si="12"/>
        <v>1</v>
      </c>
      <c r="Z9" t="str">
        <f>CONCATENATE(I9," &amp; ",J9, " &amp; ", ROUND(K9,2), " &amp; ", L9, " &amp; ", M9, " &amp; ",  ROUND(N9,2), " &amp; ", O9, " &amp; ", P9, " &amp; ", ROUND(Q9,2), " &amp; ", R9, " &amp; ", S9, " &amp; ",  ROUND(T9,2), " &amp; ", U9, "\\")</f>
        <v>pard400_2 &amp; 6 &amp; 600.04 &amp; 243595 &amp; 10928 &amp; 239.88 &amp; 47183 &amp; 8305 &amp; 600.01 &amp; 90455 &amp; 8538 &amp; 600 &amp; 500\\</v>
      </c>
    </row>
    <row r="10" spans="1:26" x14ac:dyDescent="0.2">
      <c r="A10" t="s">
        <v>46</v>
      </c>
      <c r="B10">
        <v>8</v>
      </c>
      <c r="C10" t="s">
        <v>21</v>
      </c>
      <c r="D10" t="s">
        <v>1</v>
      </c>
      <c r="E10">
        <v>600.03322790000004</v>
      </c>
      <c r="F10">
        <v>94905</v>
      </c>
      <c r="G10">
        <v>11830</v>
      </c>
      <c r="I10" t="str">
        <f t="shared" ref="I10:I13" si="15">CONCATENATE($I$1,"2")</f>
        <v>pard400_2</v>
      </c>
      <c r="J10">
        <v>8</v>
      </c>
      <c r="K10" s="1">
        <f t="shared" si="0"/>
        <v>600.01225780000004</v>
      </c>
      <c r="L10">
        <f t="shared" si="1"/>
        <v>328114</v>
      </c>
      <c r="M10">
        <f t="shared" si="2"/>
        <v>9365</v>
      </c>
      <c r="N10" s="1">
        <f t="shared" si="3"/>
        <v>600.02449320000005</v>
      </c>
      <c r="O10">
        <f t="shared" si="4"/>
        <v>234100</v>
      </c>
      <c r="P10">
        <f t="shared" si="5"/>
        <v>8547</v>
      </c>
      <c r="Q10" s="1">
        <f t="shared" si="6"/>
        <v>600.01711799999998</v>
      </c>
      <c r="R10">
        <f t="shared" si="7"/>
        <v>207800</v>
      </c>
      <c r="S10">
        <f t="shared" si="8"/>
        <v>2011</v>
      </c>
      <c r="T10" s="1">
        <f t="shared" si="9"/>
        <v>600.00508809999997</v>
      </c>
      <c r="U10">
        <f t="shared" si="10"/>
        <v>242</v>
      </c>
      <c r="W10">
        <f t="shared" si="11"/>
        <v>1</v>
      </c>
      <c r="X10">
        <f t="shared" si="12"/>
        <v>1</v>
      </c>
      <c r="Z10" t="str">
        <f t="shared" ref="Z10:Z12" si="16">CONCATENATE(I10," &amp; ",J10, " &amp; ", ROUND(K10,2), " &amp; ", L10, " &amp; ", M10, " &amp; ",  ROUND(N10,2), " &amp; ", O10, " &amp; ", P10, " &amp; ", ROUND(Q10,2), " &amp; ", R10, " &amp; ", S10, " &amp; ",  ROUND(T10,2), " &amp; ", U10, "\\")</f>
        <v>pard400_2 &amp; 8 &amp; 600.01 &amp; 328114 &amp; 9365 &amp; 600.02 &amp; 234100 &amp; 8547 &amp; 600.02 &amp; 207800 &amp; 2011 &amp; 600.01 &amp; 242\\</v>
      </c>
    </row>
    <row r="11" spans="1:26" x14ac:dyDescent="0.2">
      <c r="A11" t="s">
        <v>0</v>
      </c>
      <c r="B11" t="s">
        <v>14</v>
      </c>
      <c r="C11" t="s">
        <v>15</v>
      </c>
      <c r="D11" t="s">
        <v>16</v>
      </c>
      <c r="E11" t="s">
        <v>17</v>
      </c>
      <c r="F11" t="s">
        <v>18</v>
      </c>
      <c r="G11" t="s">
        <v>19</v>
      </c>
      <c r="I11" t="str">
        <f t="shared" si="15"/>
        <v>pard400_2</v>
      </c>
      <c r="J11">
        <v>10</v>
      </c>
      <c r="K11" s="1">
        <f t="shared" si="0"/>
        <v>600.01313519999997</v>
      </c>
      <c r="L11">
        <f t="shared" si="1"/>
        <v>468412</v>
      </c>
      <c r="M11">
        <f t="shared" si="2"/>
        <v>9134</v>
      </c>
      <c r="N11" s="1">
        <f t="shared" si="3"/>
        <v>0.198057175</v>
      </c>
      <c r="O11">
        <f t="shared" si="4"/>
        <v>47</v>
      </c>
      <c r="P11">
        <f t="shared" si="5"/>
        <v>12</v>
      </c>
      <c r="Q11" s="1">
        <f t="shared" si="6"/>
        <v>5.3150970940000004</v>
      </c>
      <c r="R11">
        <f t="shared" si="7"/>
        <v>28</v>
      </c>
      <c r="S11">
        <f t="shared" si="8"/>
        <v>16</v>
      </c>
      <c r="T11" s="1">
        <f t="shared" si="9"/>
        <v>600.01</v>
      </c>
      <c r="U11">
        <f t="shared" si="10"/>
        <v>700</v>
      </c>
      <c r="W11">
        <f t="shared" si="11"/>
        <v>1</v>
      </c>
      <c r="X11">
        <f t="shared" si="12"/>
        <v>1</v>
      </c>
      <c r="Z11" t="str">
        <f t="shared" si="16"/>
        <v>pard400_2 &amp; 10 &amp; 600.01 &amp; 468412 &amp; 9134 &amp; 0.2 &amp; 47 &amp; 12 &amp; 5.32 &amp; 28 &amp; 16 &amp; 600.01 &amp; 700\\</v>
      </c>
    </row>
    <row r="12" spans="1:26" x14ac:dyDescent="0.2">
      <c r="A12" t="s">
        <v>46</v>
      </c>
      <c r="B12">
        <v>8</v>
      </c>
      <c r="C12" t="s">
        <v>21</v>
      </c>
      <c r="D12" t="s">
        <v>58</v>
      </c>
      <c r="E12">
        <v>400.63478709999998</v>
      </c>
      <c r="F12">
        <v>118339</v>
      </c>
      <c r="G12">
        <v>6461</v>
      </c>
      <c r="I12" t="str">
        <f t="shared" si="15"/>
        <v>pard400_2</v>
      </c>
      <c r="J12">
        <v>12</v>
      </c>
      <c r="K12" s="1">
        <f t="shared" si="0"/>
        <v>600.01282909999998</v>
      </c>
      <c r="L12">
        <f t="shared" si="1"/>
        <v>273342</v>
      </c>
      <c r="M12">
        <f t="shared" si="2"/>
        <v>7406</v>
      </c>
      <c r="N12" s="1">
        <f t="shared" si="3"/>
        <v>0.46593403799999999</v>
      </c>
      <c r="O12">
        <f t="shared" si="4"/>
        <v>3</v>
      </c>
      <c r="P12">
        <f t="shared" si="5"/>
        <v>18</v>
      </c>
      <c r="Q12" s="1">
        <f t="shared" si="6"/>
        <v>1.1200380329999999</v>
      </c>
      <c r="R12">
        <f t="shared" si="7"/>
        <v>3</v>
      </c>
      <c r="S12">
        <f t="shared" si="8"/>
        <v>18</v>
      </c>
      <c r="T12" s="1">
        <f t="shared" si="9"/>
        <v>600.01</v>
      </c>
      <c r="U12">
        <f t="shared" si="10"/>
        <v>700</v>
      </c>
      <c r="W12">
        <f t="shared" si="11"/>
        <v>1</v>
      </c>
      <c r="X12">
        <f t="shared" si="12"/>
        <v>1</v>
      </c>
      <c r="Z12" t="str">
        <f t="shared" si="16"/>
        <v>pard400_2 &amp; 12 &amp; 600.01 &amp; 273342 &amp; 7406 &amp; 0.47 &amp; 3 &amp; 18 &amp; 1.12 &amp; 3 &amp; 18 &amp; 600.01 &amp; 700\\</v>
      </c>
    </row>
    <row r="13" spans="1:26" x14ac:dyDescent="0.2">
      <c r="A13" t="s">
        <v>0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I13" t="str">
        <f t="shared" si="15"/>
        <v>pard400_2</v>
      </c>
      <c r="J13">
        <v>200</v>
      </c>
      <c r="K13" s="1">
        <f t="shared" si="0"/>
        <v>600.02289510000003</v>
      </c>
      <c r="L13">
        <f t="shared" si="1"/>
        <v>505040</v>
      </c>
      <c r="M13">
        <f t="shared" si="2"/>
        <v>8497</v>
      </c>
      <c r="N13" s="1">
        <f t="shared" si="3"/>
        <v>0.20760393099999999</v>
      </c>
      <c r="O13">
        <f t="shared" si="4"/>
        <v>65</v>
      </c>
      <c r="P13">
        <f t="shared" si="5"/>
        <v>12</v>
      </c>
      <c r="Q13" s="1">
        <f t="shared" si="6"/>
        <v>9.9455080030000005</v>
      </c>
      <c r="R13">
        <f t="shared" si="7"/>
        <v>69</v>
      </c>
      <c r="S13">
        <f t="shared" si="8"/>
        <v>12</v>
      </c>
      <c r="T13" s="1">
        <f t="shared" si="9"/>
        <v>600.00874810000005</v>
      </c>
      <c r="U13">
        <f t="shared" si="10"/>
        <v>600</v>
      </c>
      <c r="W13">
        <f t="shared" si="11"/>
        <v>1</v>
      </c>
      <c r="X13">
        <f t="shared" si="12"/>
        <v>1</v>
      </c>
      <c r="Z13" t="str">
        <f>CONCATENATE(I13," &amp; ","nc", " &amp; ", ROUND(K13,2), " &amp; ", L13, " &amp; ", M13, " &amp; ",  ROUND(N13,2), " &amp; ", O13, " &amp; ", P13, " &amp; ", ROUND(Q13,2), " &amp; ", R13, " &amp; ", S13, " &amp; ",  ROUND(T13,2), " &amp; ", U13, "\\")</f>
        <v>pard400_2 &amp; nc &amp; 600.02 &amp; 505040 &amp; 8497 &amp; 0.21 &amp; 65 &amp; 12 &amp; 9.95 &amp; 69 &amp; 12 &amp; 600.01 &amp; 600\\</v>
      </c>
    </row>
    <row r="14" spans="1:26" x14ac:dyDescent="0.2">
      <c r="A14" t="s">
        <v>46</v>
      </c>
      <c r="B14">
        <v>8</v>
      </c>
      <c r="C14" t="s">
        <v>21</v>
      </c>
      <c r="D14" t="s">
        <v>59</v>
      </c>
      <c r="E14">
        <v>600.01056600000004</v>
      </c>
      <c r="F14">
        <v>106917</v>
      </c>
      <c r="G14">
        <v>7822</v>
      </c>
      <c r="I14" t="str">
        <f>CONCATENATE($I$1,"3")</f>
        <v>pard400_3</v>
      </c>
      <c r="J14">
        <v>6</v>
      </c>
      <c r="K14" s="1">
        <f t="shared" si="0"/>
        <v>600.06304690000002</v>
      </c>
      <c r="L14">
        <f t="shared" si="1"/>
        <v>112811</v>
      </c>
      <c r="M14">
        <f t="shared" si="2"/>
        <v>12019</v>
      </c>
      <c r="N14" s="1">
        <f t="shared" si="3"/>
        <v>1.359005928</v>
      </c>
      <c r="O14">
        <f t="shared" si="4"/>
        <v>236</v>
      </c>
      <c r="P14">
        <f t="shared" si="5"/>
        <v>32</v>
      </c>
      <c r="Q14" s="1">
        <f t="shared" si="6"/>
        <v>43.694840190000001</v>
      </c>
      <c r="R14">
        <f t="shared" si="7"/>
        <v>515</v>
      </c>
      <c r="S14">
        <f t="shared" si="8"/>
        <v>32</v>
      </c>
      <c r="T14" s="1">
        <f t="shared" si="9"/>
        <v>600.00303980000001</v>
      </c>
      <c r="U14">
        <f t="shared" si="10"/>
        <v>505</v>
      </c>
      <c r="W14">
        <f t="shared" si="11"/>
        <v>1</v>
      </c>
      <c r="X14">
        <f t="shared" si="12"/>
        <v>1</v>
      </c>
      <c r="Z14" t="str">
        <f>CONCATENATE(I14," &amp; ",J14, " &amp; ", ROUND(K14,2), " &amp; ", L14, " &amp; ", M14, " &amp; ",  ROUND(N14,2), " &amp; ", O14, " &amp; ", P14, " &amp; ", ROUND(Q14,2), " &amp; ", R14, " &amp; ", S14, " &amp; ",  ROUND(T14,2), " &amp; ", U14, "\\")</f>
        <v>pard400_3 &amp; 6 &amp; 600.06 &amp; 112811 &amp; 12019 &amp; 1.36 &amp; 236 &amp; 32 &amp; 43.69 &amp; 515 &amp; 32 &amp; 600 &amp; 505\\</v>
      </c>
    </row>
    <row r="15" spans="1:26" x14ac:dyDescent="0.2">
      <c r="A15" t="s">
        <v>0</v>
      </c>
      <c r="B15" t="s">
        <v>14</v>
      </c>
      <c r="C15" t="s">
        <v>15</v>
      </c>
      <c r="D15" t="s">
        <v>16</v>
      </c>
      <c r="E15" t="s">
        <v>17</v>
      </c>
      <c r="I15" t="str">
        <f t="shared" ref="I15:I18" si="17">CONCATENATE($I$1,"3")</f>
        <v>pard400_3</v>
      </c>
      <c r="J15">
        <v>8</v>
      </c>
      <c r="K15" s="1">
        <f t="shared" si="0"/>
        <v>600.02172399999995</v>
      </c>
      <c r="L15">
        <f t="shared" si="1"/>
        <v>235000</v>
      </c>
      <c r="M15">
        <f t="shared" si="2"/>
        <v>10154</v>
      </c>
      <c r="N15" s="1">
        <f t="shared" si="3"/>
        <v>1.2399461270000001</v>
      </c>
      <c r="O15">
        <f t="shared" si="4"/>
        <v>385</v>
      </c>
      <c r="P15">
        <f t="shared" si="5"/>
        <v>24</v>
      </c>
      <c r="Q15" s="1">
        <f t="shared" si="6"/>
        <v>59.488219979999997</v>
      </c>
      <c r="R15">
        <f t="shared" si="7"/>
        <v>750</v>
      </c>
      <c r="S15">
        <f t="shared" si="8"/>
        <v>24</v>
      </c>
      <c r="T15" s="1">
        <f t="shared" si="9"/>
        <v>600.00346490000004</v>
      </c>
      <c r="U15">
        <f t="shared" si="10"/>
        <v>500</v>
      </c>
      <c r="W15">
        <f t="shared" si="11"/>
        <v>1</v>
      </c>
      <c r="X15">
        <f t="shared" si="12"/>
        <v>1</v>
      </c>
      <c r="Z15" t="str">
        <f t="shared" ref="Z15:Z17" si="18">CONCATENATE(I15," &amp; ",J15, " &amp; ", ROUND(K15,2), " &amp; ", L15, " &amp; ", M15, " &amp; ",  ROUND(N15,2), " &amp; ", O15, " &amp; ", P15, " &amp; ", ROUND(Q15,2), " &amp; ", R15, " &amp; ", S15, " &amp; ",  ROUND(T15,2), " &amp; ", U15, "\\")</f>
        <v>pard400_3 &amp; 8 &amp; 600.02 &amp; 235000 &amp; 10154 &amp; 1.24 &amp; 385 &amp; 24 &amp; 59.49 &amp; 750 &amp; 24 &amp; 600 &amp; 500\\</v>
      </c>
    </row>
    <row r="16" spans="1:26" x14ac:dyDescent="0.2">
      <c r="A16" t="s">
        <v>46</v>
      </c>
      <c r="B16">
        <v>8</v>
      </c>
      <c r="C16" t="s">
        <v>22</v>
      </c>
      <c r="D16" t="s">
        <v>23</v>
      </c>
      <c r="E16">
        <v>600.0057769</v>
      </c>
      <c r="F16">
        <v>600</v>
      </c>
      <c r="I16" t="str">
        <f t="shared" si="17"/>
        <v>pard400_3</v>
      </c>
      <c r="J16">
        <v>10</v>
      </c>
      <c r="K16" s="1">
        <f t="shared" si="0"/>
        <v>600.01103090000004</v>
      </c>
      <c r="L16">
        <f t="shared" si="1"/>
        <v>245462</v>
      </c>
      <c r="M16">
        <f t="shared" si="2"/>
        <v>6940</v>
      </c>
      <c r="N16" s="1">
        <f t="shared" si="3"/>
        <v>3.563481092</v>
      </c>
      <c r="O16">
        <f t="shared" si="4"/>
        <v>6937</v>
      </c>
      <c r="P16">
        <f t="shared" si="5"/>
        <v>12</v>
      </c>
      <c r="Q16" s="1">
        <f t="shared" si="6"/>
        <v>136.54068799999999</v>
      </c>
      <c r="R16">
        <f t="shared" si="7"/>
        <v>44314</v>
      </c>
      <c r="S16">
        <f t="shared" si="8"/>
        <v>18</v>
      </c>
      <c r="T16" s="1">
        <f t="shared" si="9"/>
        <v>600.00586199999998</v>
      </c>
      <c r="U16">
        <f t="shared" si="10"/>
        <v>510</v>
      </c>
      <c r="W16">
        <f t="shared" si="11"/>
        <v>1</v>
      </c>
      <c r="X16">
        <f t="shared" si="12"/>
        <v>1</v>
      </c>
      <c r="Z16" t="str">
        <f t="shared" si="18"/>
        <v>pard400_3 &amp; 10 &amp; 600.01 &amp; 245462 &amp; 6940 &amp; 3.56 &amp; 6937 &amp; 12 &amp; 136.54 &amp; 44314 &amp; 18 &amp; 600.01 &amp; 510\\</v>
      </c>
    </row>
    <row r="17" spans="1:26" x14ac:dyDescent="0.2">
      <c r="A17" t="s">
        <v>0</v>
      </c>
      <c r="B17" t="s">
        <v>14</v>
      </c>
      <c r="C17" t="s">
        <v>15</v>
      </c>
      <c r="D17" t="s">
        <v>16</v>
      </c>
      <c r="E17" t="s">
        <v>17</v>
      </c>
      <c r="F17" t="s">
        <v>18</v>
      </c>
      <c r="G17" t="s">
        <v>19</v>
      </c>
      <c r="I17" t="str">
        <f t="shared" si="17"/>
        <v>pard400_3</v>
      </c>
      <c r="J17">
        <v>12</v>
      </c>
      <c r="K17" s="1">
        <f t="shared" si="0"/>
        <v>600.04289200000005</v>
      </c>
      <c r="L17">
        <f t="shared" si="1"/>
        <v>292359</v>
      </c>
      <c r="M17">
        <f t="shared" si="2"/>
        <v>7016</v>
      </c>
      <c r="N17" s="1">
        <f t="shared" si="3"/>
        <v>57.134063009999998</v>
      </c>
      <c r="O17">
        <f t="shared" si="4"/>
        <v>63851</v>
      </c>
      <c r="P17">
        <f t="shared" si="5"/>
        <v>944</v>
      </c>
      <c r="Q17" s="1">
        <f t="shared" si="6"/>
        <v>600.00575419999996</v>
      </c>
      <c r="R17">
        <f t="shared" si="7"/>
        <v>139800</v>
      </c>
      <c r="S17">
        <f t="shared" si="8"/>
        <v>935</v>
      </c>
      <c r="T17" s="1">
        <f t="shared" si="9"/>
        <v>600.00286319999998</v>
      </c>
      <c r="U17">
        <f t="shared" si="10"/>
        <v>346</v>
      </c>
      <c r="W17">
        <f t="shared" si="11"/>
        <v>1</v>
      </c>
      <c r="X17">
        <f t="shared" si="12"/>
        <v>1</v>
      </c>
      <c r="Z17" t="str">
        <f t="shared" si="18"/>
        <v>pard400_3 &amp; 12 &amp; 600.04 &amp; 292359 &amp; 7016 &amp; 57.13 &amp; 63851 &amp; 944 &amp; 600.01 &amp; 139800 &amp; 935 &amp; 600 &amp; 346\\</v>
      </c>
    </row>
    <row r="18" spans="1:26" x14ac:dyDescent="0.2">
      <c r="A18" t="s">
        <v>46</v>
      </c>
      <c r="B18">
        <v>10</v>
      </c>
      <c r="C18" t="s">
        <v>21</v>
      </c>
      <c r="D18" t="s">
        <v>1</v>
      </c>
      <c r="E18">
        <v>600.09218480000004</v>
      </c>
      <c r="F18">
        <v>173001</v>
      </c>
      <c r="G18">
        <v>10016</v>
      </c>
      <c r="I18" t="str">
        <f t="shared" si="17"/>
        <v>pard400_3</v>
      </c>
      <c r="J18">
        <v>200</v>
      </c>
      <c r="K18" s="1">
        <f t="shared" si="0"/>
        <v>600.01358389999996</v>
      </c>
      <c r="L18">
        <f t="shared" si="1"/>
        <v>334322</v>
      </c>
      <c r="M18">
        <f t="shared" si="2"/>
        <v>8382</v>
      </c>
      <c r="N18" s="1">
        <f t="shared" si="3"/>
        <v>42.007380010000006</v>
      </c>
      <c r="O18">
        <f t="shared" si="4"/>
        <v>77868</v>
      </c>
      <c r="P18">
        <f t="shared" si="5"/>
        <v>2384</v>
      </c>
      <c r="Q18" s="1">
        <f t="shared" si="6"/>
        <v>285.7250262</v>
      </c>
      <c r="R18">
        <f t="shared" si="7"/>
        <v>120866</v>
      </c>
      <c r="S18">
        <f t="shared" si="8"/>
        <v>3660</v>
      </c>
      <c r="T18" s="1">
        <f t="shared" si="9"/>
        <v>600.00683000000004</v>
      </c>
      <c r="U18">
        <f t="shared" si="10"/>
        <v>600</v>
      </c>
      <c r="W18">
        <f t="shared" si="11"/>
        <v>1</v>
      </c>
      <c r="X18">
        <f t="shared" si="12"/>
        <v>1</v>
      </c>
      <c r="Z18" t="str">
        <f>CONCATENATE(I18," &amp; ","nc", " &amp; ", ROUND(K18,2), " &amp; ", L18, " &amp; ", M18, " &amp; ",  ROUND(N18,2), " &amp; ", O18, " &amp; ", P18, " &amp; ", ROUND(Q18,2), " &amp; ", R18, " &amp; ", S18, " &amp; ",  ROUND(T18,2), " &amp; ", U18, "\\")</f>
        <v>pard400_3 &amp; nc &amp; 600.01 &amp; 334322 &amp; 8382 &amp; 42.01 &amp; 77868 &amp; 2384 &amp; 285.73 &amp; 120866 &amp; 3660 &amp; 600.01 &amp; 600\\</v>
      </c>
    </row>
    <row r="19" spans="1:26" x14ac:dyDescent="0.2">
      <c r="A19" t="s">
        <v>0</v>
      </c>
      <c r="B19" t="s">
        <v>14</v>
      </c>
      <c r="C19" t="s">
        <v>15</v>
      </c>
      <c r="D19" t="s">
        <v>16</v>
      </c>
      <c r="E19" t="s">
        <v>17</v>
      </c>
      <c r="F19" t="s">
        <v>18</v>
      </c>
      <c r="G19" t="s">
        <v>19</v>
      </c>
      <c r="I19" t="str">
        <f>CONCATENATE($I$1,"4")</f>
        <v>pard400_4</v>
      </c>
      <c r="J19">
        <v>6</v>
      </c>
      <c r="K19" s="1">
        <f t="shared" si="0"/>
        <v>600.06833310000002</v>
      </c>
      <c r="L19">
        <f t="shared" si="1"/>
        <v>86783</v>
      </c>
      <c r="M19">
        <f t="shared" si="2"/>
        <v>13657</v>
      </c>
      <c r="N19" s="1">
        <f t="shared" si="3"/>
        <v>0.30113220200000002</v>
      </c>
      <c r="O19">
        <f t="shared" si="4"/>
        <v>0</v>
      </c>
      <c r="P19">
        <f t="shared" si="5"/>
        <v>14</v>
      </c>
      <c r="Q19" s="1">
        <f t="shared" si="6"/>
        <v>0.49354291</v>
      </c>
      <c r="R19">
        <f t="shared" si="7"/>
        <v>0</v>
      </c>
      <c r="S19">
        <f t="shared" si="8"/>
        <v>14</v>
      </c>
      <c r="T19" s="1">
        <f t="shared" si="9"/>
        <v>600.00991420000003</v>
      </c>
      <c r="U19">
        <f t="shared" si="10"/>
        <v>500</v>
      </c>
      <c r="W19">
        <f t="shared" si="11"/>
        <v>1</v>
      </c>
      <c r="X19">
        <f t="shared" si="12"/>
        <v>1</v>
      </c>
      <c r="Z19" t="str">
        <f>CONCATENATE(I19," &amp; ",J19, " &amp; ", ROUND(K19,2), " &amp; ", L19, " &amp; ", M19, " &amp; ",  ROUND(N19,2), " &amp; ", O19, " &amp; ", P19, " &amp; ", ROUND(Q19,2), " &amp; ", R19, " &amp; ", S19, " &amp; ",  ROUND(T19,2), " &amp; ", U19, "\\")</f>
        <v>pard400_4 &amp; 6 &amp; 600.07 &amp; 86783 &amp; 13657 &amp; 0.3 &amp; 0 &amp; 14 &amp; 0.49 &amp; 0 &amp; 14 &amp; 600.01 &amp; 500\\</v>
      </c>
    </row>
    <row r="20" spans="1:26" x14ac:dyDescent="0.2">
      <c r="A20" t="s">
        <v>46</v>
      </c>
      <c r="B20">
        <v>10</v>
      </c>
      <c r="C20" t="s">
        <v>21</v>
      </c>
      <c r="D20" t="s">
        <v>58</v>
      </c>
      <c r="E20">
        <v>600.04920200000004</v>
      </c>
      <c r="F20">
        <v>71048</v>
      </c>
      <c r="G20">
        <v>10336</v>
      </c>
      <c r="I20" t="str">
        <f t="shared" ref="I20:I23" si="19">CONCATENATE($I$1,"4")</f>
        <v>pard400_4</v>
      </c>
      <c r="J20">
        <v>8</v>
      </c>
      <c r="K20" s="1">
        <f t="shared" si="0"/>
        <v>600.01370099999997</v>
      </c>
      <c r="L20">
        <f t="shared" si="1"/>
        <v>272570</v>
      </c>
      <c r="M20">
        <f t="shared" si="2"/>
        <v>10705</v>
      </c>
      <c r="N20" s="1">
        <f t="shared" si="3"/>
        <v>0.39663982399999997</v>
      </c>
      <c r="O20">
        <f t="shared" si="4"/>
        <v>642</v>
      </c>
      <c r="P20">
        <f t="shared" si="5"/>
        <v>20</v>
      </c>
      <c r="Q20" s="1">
        <f t="shared" si="6"/>
        <v>50.413094039999997</v>
      </c>
      <c r="R20">
        <f t="shared" si="7"/>
        <v>620</v>
      </c>
      <c r="S20">
        <f t="shared" si="8"/>
        <v>20</v>
      </c>
      <c r="T20" s="1">
        <f t="shared" si="9"/>
        <v>600.00575609999999</v>
      </c>
      <c r="U20">
        <f t="shared" si="10"/>
        <v>561</v>
      </c>
      <c r="W20">
        <f t="shared" si="11"/>
        <v>1</v>
      </c>
      <c r="X20">
        <f t="shared" si="12"/>
        <v>1</v>
      </c>
      <c r="Z20" t="str">
        <f t="shared" ref="Z20:Z22" si="20">CONCATENATE(I20," &amp; ",J20, " &amp; ", ROUND(K20,2), " &amp; ", L20, " &amp; ", M20, " &amp; ",  ROUND(N20,2), " &amp; ", O20, " &amp; ", P20, " &amp; ", ROUND(Q20,2), " &amp; ", R20, " &amp; ", S20, " &amp; ",  ROUND(T20,2), " &amp; ", U20, "\\")</f>
        <v>pard400_4 &amp; 8 &amp; 600.01 &amp; 272570 &amp; 10705 &amp; 0.4 &amp; 642 &amp; 20 &amp; 50.41 &amp; 620 &amp; 20 &amp; 600.01 &amp; 561\\</v>
      </c>
    </row>
    <row r="21" spans="1:26" x14ac:dyDescent="0.2">
      <c r="A21" t="s">
        <v>0</v>
      </c>
      <c r="B21" t="s">
        <v>14</v>
      </c>
      <c r="C21" t="s">
        <v>15</v>
      </c>
      <c r="D21" t="s">
        <v>16</v>
      </c>
      <c r="E21" t="s">
        <v>17</v>
      </c>
      <c r="F21" t="s">
        <v>18</v>
      </c>
      <c r="G21" t="s">
        <v>19</v>
      </c>
      <c r="I21" t="str">
        <f t="shared" si="19"/>
        <v>pard400_4</v>
      </c>
      <c r="J21">
        <v>10</v>
      </c>
      <c r="K21" s="1">
        <f t="shared" si="0"/>
        <v>600.0105691</v>
      </c>
      <c r="L21">
        <f t="shared" si="1"/>
        <v>289891</v>
      </c>
      <c r="M21">
        <f t="shared" si="2"/>
        <v>8193</v>
      </c>
      <c r="N21" s="1">
        <f t="shared" si="3"/>
        <v>0.61095714599999995</v>
      </c>
      <c r="O21">
        <f t="shared" si="4"/>
        <v>516</v>
      </c>
      <c r="P21">
        <f t="shared" si="5"/>
        <v>30</v>
      </c>
      <c r="Q21" s="1">
        <f t="shared" si="6"/>
        <v>46.848082069999997</v>
      </c>
      <c r="R21">
        <f t="shared" si="7"/>
        <v>879</v>
      </c>
      <c r="S21">
        <f t="shared" si="8"/>
        <v>32</v>
      </c>
      <c r="T21" s="1">
        <f t="shared" si="9"/>
        <v>600.01833105087201</v>
      </c>
      <c r="U21">
        <f t="shared" si="10"/>
        <v>200</v>
      </c>
      <c r="W21">
        <f t="shared" si="11"/>
        <v>1</v>
      </c>
      <c r="X21">
        <f t="shared" si="12"/>
        <v>1</v>
      </c>
      <c r="Z21" t="str">
        <f t="shared" si="20"/>
        <v>pard400_4 &amp; 10 &amp; 600.01 &amp; 289891 &amp; 8193 &amp; 0.61 &amp; 516 &amp; 30 &amp; 46.85 &amp; 879 &amp; 32 &amp; 600.02 &amp; 200\\</v>
      </c>
    </row>
    <row r="22" spans="1:26" x14ac:dyDescent="0.2">
      <c r="A22" t="s">
        <v>46</v>
      </c>
      <c r="B22">
        <v>10</v>
      </c>
      <c r="C22" t="s">
        <v>21</v>
      </c>
      <c r="D22" t="s">
        <v>59</v>
      </c>
      <c r="E22">
        <v>600.02793220000001</v>
      </c>
      <c r="F22">
        <v>63473</v>
      </c>
      <c r="G22">
        <v>5422</v>
      </c>
      <c r="I22" t="str">
        <f t="shared" si="19"/>
        <v>pard400_4</v>
      </c>
      <c r="J22">
        <v>12</v>
      </c>
      <c r="K22" s="1">
        <f t="shared" si="0"/>
        <v>600.02705809999998</v>
      </c>
      <c r="L22">
        <f t="shared" si="1"/>
        <v>303650</v>
      </c>
      <c r="M22">
        <f t="shared" si="2"/>
        <v>6790</v>
      </c>
      <c r="N22" s="1">
        <f t="shared" si="3"/>
        <v>0.902191162109375</v>
      </c>
      <c r="O22">
        <f t="shared" si="4"/>
        <v>228</v>
      </c>
      <c r="P22">
        <f t="shared" si="5"/>
        <v>16</v>
      </c>
      <c r="Q22" s="1">
        <f t="shared" si="6"/>
        <v>51.312223196029599</v>
      </c>
      <c r="R22">
        <f t="shared" si="7"/>
        <v>216</v>
      </c>
      <c r="S22">
        <f t="shared" si="8"/>
        <v>16</v>
      </c>
      <c r="T22" s="1">
        <f t="shared" si="9"/>
        <v>600.00887298583905</v>
      </c>
      <c r="U22">
        <f t="shared" si="10"/>
        <v>294</v>
      </c>
      <c r="W22">
        <f t="shared" si="11"/>
        <v>1</v>
      </c>
      <c r="X22">
        <f t="shared" si="12"/>
        <v>1</v>
      </c>
      <c r="Z22" t="str">
        <f t="shared" si="20"/>
        <v>pard400_4 &amp; 12 &amp; 600.03 &amp; 303650 &amp; 6790 &amp; 0.9 &amp; 228 &amp; 16 &amp; 51.31 &amp; 216 &amp; 16 &amp; 600.01 &amp; 294\\</v>
      </c>
    </row>
    <row r="23" spans="1:26" x14ac:dyDescent="0.2">
      <c r="A23" t="s">
        <v>0</v>
      </c>
      <c r="B23" t="s">
        <v>14</v>
      </c>
      <c r="C23" t="s">
        <v>15</v>
      </c>
      <c r="D23" t="s">
        <v>16</v>
      </c>
      <c r="E23" t="s">
        <v>17</v>
      </c>
      <c r="I23" t="str">
        <f t="shared" si="19"/>
        <v>pard400_4</v>
      </c>
      <c r="J23">
        <v>200</v>
      </c>
      <c r="K23" s="1">
        <f t="shared" si="0"/>
        <v>600.04589799999997</v>
      </c>
      <c r="L23">
        <f t="shared" si="1"/>
        <v>366088</v>
      </c>
      <c r="M23">
        <f t="shared" si="2"/>
        <v>7999</v>
      </c>
      <c r="N23" s="1">
        <f t="shared" si="3"/>
        <v>0.37891793299999998</v>
      </c>
      <c r="O23">
        <f t="shared" si="4"/>
        <v>86</v>
      </c>
      <c r="P23">
        <f t="shared" si="5"/>
        <v>22</v>
      </c>
      <c r="Q23" s="1">
        <f t="shared" si="6"/>
        <v>13.872748850000001</v>
      </c>
      <c r="R23">
        <f t="shared" si="7"/>
        <v>80</v>
      </c>
      <c r="S23">
        <f t="shared" si="8"/>
        <v>22</v>
      </c>
      <c r="T23" s="1">
        <f t="shared" si="9"/>
        <v>600.00680109999996</v>
      </c>
      <c r="U23">
        <f t="shared" si="10"/>
        <v>587</v>
      </c>
      <c r="W23">
        <f t="shared" si="11"/>
        <v>1</v>
      </c>
      <c r="X23">
        <f t="shared" si="12"/>
        <v>1</v>
      </c>
      <c r="Z23" t="str">
        <f>CONCATENATE(I23," &amp; ","nc", " &amp; ", ROUND(K23,2), " &amp; ", L23, " &amp; ", M23, " &amp; ",  ROUND(N23,2), " &amp; ", O23, " &amp; ", P23, " &amp; ", ROUND(Q23,2), " &amp; ", R23, " &amp; ", S23, " &amp; ",  ROUND(T23,2), " &amp; ", U23, "\\")</f>
        <v>pard400_4 &amp; nc &amp; 600.05 &amp; 366088 &amp; 7999 &amp; 0.38 &amp; 86 &amp; 22 &amp; 13.87 &amp; 80 &amp; 22 &amp; 600.01 &amp; 587\\</v>
      </c>
    </row>
    <row r="24" spans="1:26" x14ac:dyDescent="0.2">
      <c r="A24" t="s">
        <v>46</v>
      </c>
      <c r="B24">
        <v>10</v>
      </c>
      <c r="C24" t="s">
        <v>22</v>
      </c>
      <c r="D24" t="s">
        <v>23</v>
      </c>
      <c r="E24">
        <v>600.01268289999996</v>
      </c>
      <c r="F24">
        <v>700</v>
      </c>
      <c r="I24" t="str">
        <f>CONCATENATE($I$1,"5")</f>
        <v>pard400_5</v>
      </c>
      <c r="J24">
        <v>6</v>
      </c>
      <c r="K24" s="1">
        <f t="shared" si="0"/>
        <v>600.024272</v>
      </c>
      <c r="L24">
        <f t="shared" si="1"/>
        <v>119973</v>
      </c>
      <c r="M24">
        <f t="shared" si="2"/>
        <v>9616</v>
      </c>
      <c r="N24" s="1">
        <f t="shared" si="3"/>
        <v>600.02330800000004</v>
      </c>
      <c r="O24">
        <f t="shared" si="4"/>
        <v>141153</v>
      </c>
      <c r="P24">
        <f t="shared" si="5"/>
        <v>9208</v>
      </c>
      <c r="Q24" s="1">
        <f t="shared" si="6"/>
        <v>600.021929</v>
      </c>
      <c r="R24">
        <f t="shared" si="7"/>
        <v>127059</v>
      </c>
      <c r="S24">
        <f t="shared" si="8"/>
        <v>7060</v>
      </c>
      <c r="T24" s="1">
        <f t="shared" si="9"/>
        <v>600.00337790000003</v>
      </c>
      <c r="U24">
        <f t="shared" si="10"/>
        <v>700</v>
      </c>
      <c r="W24">
        <f t="shared" si="11"/>
        <v>1</v>
      </c>
      <c r="X24">
        <f t="shared" si="12"/>
        <v>1</v>
      </c>
      <c r="Z24" t="str">
        <f>CONCATENATE(I24," &amp; ",J24, " &amp; ", ROUND(K24,2), " &amp; ", L24, " &amp; ", M24, " &amp; ",  ROUND(N24,2), " &amp; ", O24, " &amp; ", P24, " &amp; ", ROUND(Q24,2), " &amp; ", R24, " &amp; ", S24, " &amp; ",  ROUND(T24,2), " &amp; ", U24, "\\")</f>
        <v>pard400_5 &amp; 6 &amp; 600.02 &amp; 119973 &amp; 9616 &amp; 600.02 &amp; 141153 &amp; 9208 &amp; 600.02 &amp; 127059 &amp; 7060 &amp; 600 &amp; 700\\</v>
      </c>
    </row>
    <row r="25" spans="1:26" x14ac:dyDescent="0.2">
      <c r="A25" t="s">
        <v>0</v>
      </c>
      <c r="B25" t="s">
        <v>14</v>
      </c>
      <c r="C25" t="s">
        <v>15</v>
      </c>
      <c r="D25" t="s">
        <v>16</v>
      </c>
      <c r="E25" t="s">
        <v>17</v>
      </c>
      <c r="F25" t="s">
        <v>18</v>
      </c>
      <c r="G25" t="s">
        <v>19</v>
      </c>
      <c r="I25" t="str">
        <f t="shared" ref="I25:I28" si="21">CONCATENATE($I$1,"5")</f>
        <v>pard400_5</v>
      </c>
      <c r="J25">
        <v>8</v>
      </c>
      <c r="K25" s="1">
        <f t="shared" si="0"/>
        <v>600.01539679999996</v>
      </c>
      <c r="L25">
        <f t="shared" si="1"/>
        <v>132612</v>
      </c>
      <c r="M25">
        <f t="shared" si="2"/>
        <v>11365</v>
      </c>
      <c r="N25" s="1">
        <f t="shared" si="3"/>
        <v>134.9942269</v>
      </c>
      <c r="O25">
        <f t="shared" si="4"/>
        <v>52966</v>
      </c>
      <c r="P25">
        <f t="shared" si="5"/>
        <v>4089</v>
      </c>
      <c r="Q25" s="1">
        <f t="shared" si="6"/>
        <v>600.03018120000002</v>
      </c>
      <c r="R25">
        <f t="shared" si="7"/>
        <v>93393</v>
      </c>
      <c r="S25">
        <f t="shared" si="8"/>
        <v>7365</v>
      </c>
      <c r="T25" s="1">
        <f t="shared" si="9"/>
        <v>600.00981690000003</v>
      </c>
      <c r="U25">
        <f t="shared" si="10"/>
        <v>600</v>
      </c>
      <c r="W25">
        <f t="shared" si="11"/>
        <v>1</v>
      </c>
      <c r="X25">
        <f t="shared" si="12"/>
        <v>1</v>
      </c>
      <c r="Z25" t="str">
        <f t="shared" ref="Z25:Z27" si="22">CONCATENATE(I25," &amp; ",J25, " &amp; ", ROUND(K25,2), " &amp; ", L25, " &amp; ", M25, " &amp; ",  ROUND(N25,2), " &amp; ", O25, " &amp; ", P25, " &amp; ", ROUND(Q25,2), " &amp; ", R25, " &amp; ", S25, " &amp; ",  ROUND(T25,2), " &amp; ", U25, "\\")</f>
        <v>pard400_5 &amp; 8 &amp; 600.02 &amp; 132612 &amp; 11365 &amp; 134.99 &amp; 52966 &amp; 4089 &amp; 600.03 &amp; 93393 &amp; 7365 &amp; 600.01 &amp; 600\\</v>
      </c>
    </row>
    <row r="26" spans="1:26" x14ac:dyDescent="0.2">
      <c r="A26" t="s">
        <v>46</v>
      </c>
      <c r="B26">
        <v>12</v>
      </c>
      <c r="C26" t="s">
        <v>21</v>
      </c>
      <c r="D26" t="s">
        <v>1</v>
      </c>
      <c r="E26">
        <v>600.04415080000001</v>
      </c>
      <c r="F26">
        <v>223716</v>
      </c>
      <c r="G26">
        <v>6852</v>
      </c>
      <c r="I26" t="str">
        <f t="shared" si="21"/>
        <v>pard400_5</v>
      </c>
      <c r="J26">
        <v>10</v>
      </c>
      <c r="K26" s="1">
        <f t="shared" si="0"/>
        <v>600.01896190000002</v>
      </c>
      <c r="L26">
        <f t="shared" si="1"/>
        <v>183099</v>
      </c>
      <c r="M26">
        <f t="shared" si="2"/>
        <v>9788</v>
      </c>
      <c r="N26" s="1">
        <f t="shared" si="3"/>
        <v>600.06476999999995</v>
      </c>
      <c r="O26">
        <f t="shared" si="4"/>
        <v>51305</v>
      </c>
      <c r="P26">
        <f t="shared" si="5"/>
        <v>10013</v>
      </c>
      <c r="Q26" s="1">
        <f t="shared" si="6"/>
        <v>600.022965</v>
      </c>
      <c r="R26">
        <f t="shared" si="7"/>
        <v>68414</v>
      </c>
      <c r="S26">
        <f t="shared" si="8"/>
        <v>6456</v>
      </c>
      <c r="T26" s="1">
        <f t="shared" si="9"/>
        <v>600.01</v>
      </c>
      <c r="U26">
        <f t="shared" si="10"/>
        <v>700</v>
      </c>
      <c r="W26">
        <f t="shared" si="11"/>
        <v>1</v>
      </c>
      <c r="X26">
        <f t="shared" si="12"/>
        <v>1</v>
      </c>
      <c r="Z26" t="str">
        <f t="shared" si="22"/>
        <v>pard400_5 &amp; 10 &amp; 600.02 &amp; 183099 &amp; 9788 &amp; 600.06 &amp; 51305 &amp; 10013 &amp; 600.02 &amp; 68414 &amp; 6456 &amp; 600.01 &amp; 700\\</v>
      </c>
    </row>
    <row r="27" spans="1:26" x14ac:dyDescent="0.2">
      <c r="A27" t="s">
        <v>46</v>
      </c>
      <c r="B27">
        <v>12</v>
      </c>
      <c r="C27" t="s">
        <v>21</v>
      </c>
      <c r="D27" t="s">
        <v>58</v>
      </c>
      <c r="E27">
        <v>600.0469501</v>
      </c>
      <c r="F27">
        <v>68600</v>
      </c>
      <c r="G27">
        <v>10508</v>
      </c>
      <c r="I27" t="str">
        <f t="shared" si="21"/>
        <v>pard400_5</v>
      </c>
      <c r="J27">
        <v>12</v>
      </c>
      <c r="K27" s="1">
        <f t="shared" si="0"/>
        <v>600.01227307319596</v>
      </c>
      <c r="L27">
        <f t="shared" si="1"/>
        <v>203517</v>
      </c>
      <c r="M27">
        <f t="shared" si="2"/>
        <v>5519</v>
      </c>
      <c r="N27" s="1">
        <f t="shared" si="3"/>
        <v>600.05708599090497</v>
      </c>
      <c r="O27">
        <f t="shared" si="4"/>
        <v>53733</v>
      </c>
      <c r="P27">
        <f t="shared" si="5"/>
        <v>9813</v>
      </c>
      <c r="Q27" s="1">
        <f t="shared" si="6"/>
        <v>600.04095888137795</v>
      </c>
      <c r="R27">
        <f t="shared" si="7"/>
        <v>39300</v>
      </c>
      <c r="S27">
        <f t="shared" si="8"/>
        <v>5365</v>
      </c>
      <c r="T27" s="1">
        <f t="shared" si="9"/>
        <v>600.006518840789</v>
      </c>
      <c r="U27">
        <f t="shared" si="10"/>
        <v>600</v>
      </c>
      <c r="W27">
        <f t="shared" si="11"/>
        <v>1</v>
      </c>
      <c r="X27">
        <f t="shared" si="12"/>
        <v>1</v>
      </c>
      <c r="Z27" t="str">
        <f t="shared" si="22"/>
        <v>pard400_5 &amp; 12 &amp; 600.01 &amp; 203517 &amp; 5519 &amp; 600.06 &amp; 53733 &amp; 9813 &amp; 600.04 &amp; 39300 &amp; 5365 &amp; 600.01 &amp; 600\\</v>
      </c>
    </row>
    <row r="28" spans="1:26" x14ac:dyDescent="0.2">
      <c r="A28" t="s">
        <v>0</v>
      </c>
      <c r="B28" t="s">
        <v>14</v>
      </c>
      <c r="C28" t="s">
        <v>15</v>
      </c>
      <c r="D28" t="s">
        <v>16</v>
      </c>
      <c r="E28" t="s">
        <v>17</v>
      </c>
      <c r="F28" t="s">
        <v>18</v>
      </c>
      <c r="G28" t="s">
        <v>19</v>
      </c>
      <c r="I28" t="str">
        <f t="shared" si="21"/>
        <v>pard400_5</v>
      </c>
      <c r="J28">
        <v>200</v>
      </c>
      <c r="K28" s="1">
        <f t="shared" si="0"/>
        <v>600.01145910000002</v>
      </c>
      <c r="L28">
        <f t="shared" si="1"/>
        <v>315445</v>
      </c>
      <c r="M28">
        <f t="shared" si="2"/>
        <v>9270</v>
      </c>
      <c r="N28" s="1">
        <f t="shared" si="3"/>
        <v>600.02431799999999</v>
      </c>
      <c r="O28">
        <f t="shared" si="4"/>
        <v>59068</v>
      </c>
      <c r="P28">
        <f t="shared" si="5"/>
        <v>12683</v>
      </c>
      <c r="Q28" s="1">
        <f t="shared" si="6"/>
        <v>600.01542589999997</v>
      </c>
      <c r="R28">
        <f t="shared" si="7"/>
        <v>86240</v>
      </c>
      <c r="S28">
        <f t="shared" si="8"/>
        <v>7025</v>
      </c>
      <c r="T28" s="1">
        <f t="shared" si="9"/>
        <v>600.00359700000001</v>
      </c>
      <c r="U28">
        <f t="shared" si="10"/>
        <v>800</v>
      </c>
      <c r="W28">
        <f t="shared" si="11"/>
        <v>1</v>
      </c>
      <c r="X28">
        <f t="shared" si="12"/>
        <v>1</v>
      </c>
      <c r="Z28" t="str">
        <f>CONCATENATE(I28," &amp; ","nc", " &amp; ", ROUND(K28,2), " &amp; ", L28, " &amp; ", M28, " &amp; ",  ROUND(N28,2), " &amp; ", O28, " &amp; ", P28, " &amp; ", ROUND(Q28,2), " &amp; ", R28, " &amp; ", S28, " &amp; ",  ROUND(T28,2), " &amp; ", U28, "\\")</f>
        <v>pard400_5 &amp; nc &amp; 600.01 &amp; 315445 &amp; 9270 &amp; 600.02 &amp; 59068 &amp; 12683 &amp; 600.02 &amp; 86240 &amp; 7025 &amp; 600 &amp; 800\\</v>
      </c>
    </row>
    <row r="29" spans="1:26" x14ac:dyDescent="0.2">
      <c r="A29" t="s">
        <v>46</v>
      </c>
      <c r="B29">
        <v>12</v>
      </c>
      <c r="C29" t="s">
        <v>21</v>
      </c>
      <c r="D29" t="s">
        <v>59</v>
      </c>
      <c r="E29">
        <v>600.025125</v>
      </c>
      <c r="F29">
        <v>42449</v>
      </c>
      <c r="G29">
        <v>6632</v>
      </c>
      <c r="I29" t="str">
        <f>CONCATENATE($I$1,"6")</f>
        <v>pard400_6</v>
      </c>
      <c r="J29">
        <v>6</v>
      </c>
      <c r="K29" s="1">
        <f t="shared" si="0"/>
        <v>600.04877209999995</v>
      </c>
      <c r="L29">
        <f t="shared" si="1"/>
        <v>116723</v>
      </c>
      <c r="M29">
        <f t="shared" si="2"/>
        <v>11259</v>
      </c>
      <c r="N29" s="1">
        <f t="shared" si="3"/>
        <v>600.02480820000005</v>
      </c>
      <c r="O29">
        <f t="shared" si="4"/>
        <v>181476</v>
      </c>
      <c r="P29">
        <f t="shared" si="5"/>
        <v>8698</v>
      </c>
      <c r="Q29" s="1">
        <f t="shared" si="6"/>
        <v>600.01284310000005</v>
      </c>
      <c r="R29">
        <f t="shared" si="7"/>
        <v>131187</v>
      </c>
      <c r="S29">
        <f t="shared" si="8"/>
        <v>6758</v>
      </c>
      <c r="T29" s="1">
        <f t="shared" si="9"/>
        <v>600.00605110000004</v>
      </c>
      <c r="U29">
        <f t="shared" si="10"/>
        <v>691</v>
      </c>
      <c r="W29">
        <f t="shared" si="11"/>
        <v>1</v>
      </c>
      <c r="X29">
        <f t="shared" si="12"/>
        <v>1</v>
      </c>
      <c r="Z29" t="str">
        <f>CONCATENATE(I29," &amp; ",J29, " &amp; ", ROUND(K29,2), " &amp; ", L29, " &amp; ", M29, " &amp; ",  ROUND(N29,2), " &amp; ", O29, " &amp; ", P29, " &amp; ", ROUND(Q29,2), " &amp; ", R29, " &amp; ", S29, " &amp; ",  ROUND(T29,2), " &amp; ", U29, "\\")</f>
        <v>pard400_6 &amp; 6 &amp; 600.05 &amp; 116723 &amp; 11259 &amp; 600.02 &amp; 181476 &amp; 8698 &amp; 600.01 &amp; 131187 &amp; 6758 &amp; 600.01 &amp; 691\\</v>
      </c>
    </row>
    <row r="30" spans="1:26" x14ac:dyDescent="0.2">
      <c r="A30" t="s">
        <v>46</v>
      </c>
      <c r="B30">
        <v>12</v>
      </c>
      <c r="C30" t="s">
        <v>21</v>
      </c>
      <c r="D30" t="s">
        <v>23</v>
      </c>
      <c r="E30">
        <v>600.01</v>
      </c>
      <c r="F30">
        <v>686</v>
      </c>
      <c r="I30" t="str">
        <f t="shared" ref="I30:I33" si="23">CONCATENATE($I$1,"6")</f>
        <v>pard400_6</v>
      </c>
      <c r="J30">
        <v>8</v>
      </c>
      <c r="K30" s="1">
        <f t="shared" si="0"/>
        <v>600.01803489999998</v>
      </c>
      <c r="L30">
        <f t="shared" si="1"/>
        <v>161137</v>
      </c>
      <c r="M30">
        <f t="shared" si="2"/>
        <v>10700</v>
      </c>
      <c r="N30" s="1">
        <f t="shared" si="3"/>
        <v>600.01274390000003</v>
      </c>
      <c r="O30">
        <f t="shared" si="4"/>
        <v>202062</v>
      </c>
      <c r="P30">
        <f t="shared" si="5"/>
        <v>9698</v>
      </c>
      <c r="Q30" s="1">
        <f t="shared" si="6"/>
        <v>600.01507500000002</v>
      </c>
      <c r="R30">
        <f t="shared" si="7"/>
        <v>105421</v>
      </c>
      <c r="S30">
        <f t="shared" si="8"/>
        <v>8449</v>
      </c>
      <c r="T30" s="1">
        <f t="shared" si="9"/>
        <v>600.00908679999998</v>
      </c>
      <c r="U30">
        <f t="shared" si="10"/>
        <v>700</v>
      </c>
      <c r="W30">
        <f t="shared" si="11"/>
        <v>1</v>
      </c>
      <c r="X30">
        <f t="shared" si="12"/>
        <v>1</v>
      </c>
      <c r="Z30" t="str">
        <f t="shared" ref="Z30:Z32" si="24">CONCATENATE(I30," &amp; ",J30, " &amp; ", ROUND(K30,2), " &amp; ", L30, " &amp; ", M30, " &amp; ",  ROUND(N30,2), " &amp; ", O30, " &amp; ", P30, " &amp; ", ROUND(Q30,2), " &amp; ", R30, " &amp; ", S30, " &amp; ",  ROUND(T30,2), " &amp; ", U30, "\\")</f>
        <v>pard400_6 &amp; 8 &amp; 600.02 &amp; 161137 &amp; 10700 &amp; 600.01 &amp; 202062 &amp; 9698 &amp; 600.02 &amp; 105421 &amp; 8449 &amp; 600.01 &amp; 700\\</v>
      </c>
    </row>
    <row r="31" spans="1:26" x14ac:dyDescent="0.2">
      <c r="A31" t="s">
        <v>48</v>
      </c>
      <c r="B31">
        <v>6</v>
      </c>
      <c r="C31" t="s">
        <v>21</v>
      </c>
      <c r="D31" t="s">
        <v>1</v>
      </c>
      <c r="E31">
        <v>600.06304690000002</v>
      </c>
      <c r="F31">
        <v>112811</v>
      </c>
      <c r="G31">
        <v>12019</v>
      </c>
      <c r="I31" t="str">
        <f t="shared" si="23"/>
        <v>pard400_6</v>
      </c>
      <c r="J31">
        <v>10</v>
      </c>
      <c r="K31" s="1">
        <f t="shared" si="0"/>
        <v>600.01835610000001</v>
      </c>
      <c r="L31">
        <f t="shared" si="1"/>
        <v>141250</v>
      </c>
      <c r="M31">
        <f t="shared" si="2"/>
        <v>11365</v>
      </c>
      <c r="N31" s="1">
        <f t="shared" si="3"/>
        <v>600.05959389999998</v>
      </c>
      <c r="O31">
        <f t="shared" si="4"/>
        <v>80800</v>
      </c>
      <c r="P31">
        <f t="shared" si="5"/>
        <v>11170</v>
      </c>
      <c r="Q31" s="1">
        <f t="shared" si="6"/>
        <v>600.04346199999998</v>
      </c>
      <c r="R31">
        <f t="shared" si="7"/>
        <v>56700</v>
      </c>
      <c r="S31">
        <f t="shared" si="8"/>
        <v>7828</v>
      </c>
      <c r="T31" s="1">
        <f t="shared" si="9"/>
        <v>600.01</v>
      </c>
      <c r="U31">
        <f t="shared" si="10"/>
        <v>700</v>
      </c>
      <c r="W31">
        <f t="shared" si="11"/>
        <v>1</v>
      </c>
      <c r="X31">
        <f t="shared" si="12"/>
        <v>1</v>
      </c>
      <c r="Z31" t="str">
        <f t="shared" si="24"/>
        <v>pard400_6 &amp; 10 &amp; 600.02 &amp; 141250 &amp; 11365 &amp; 600.06 &amp; 80800 &amp; 11170 &amp; 600.04 &amp; 56700 &amp; 7828 &amp; 600.01 &amp; 700\\</v>
      </c>
    </row>
    <row r="32" spans="1:26" x14ac:dyDescent="0.2">
      <c r="A32" t="s">
        <v>0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I32" t="str">
        <f t="shared" si="23"/>
        <v>pard400_6</v>
      </c>
      <c r="J32">
        <v>12</v>
      </c>
      <c r="K32" s="1">
        <f t="shared" si="0"/>
        <v>600.02004289626996</v>
      </c>
      <c r="L32">
        <f t="shared" si="1"/>
        <v>236618</v>
      </c>
      <c r="M32">
        <f t="shared" si="2"/>
        <v>7586</v>
      </c>
      <c r="N32" s="1">
        <f t="shared" si="3"/>
        <v>600.02456903457596</v>
      </c>
      <c r="O32">
        <f t="shared" si="4"/>
        <v>52559</v>
      </c>
      <c r="P32">
        <f t="shared" si="5"/>
        <v>10999</v>
      </c>
      <c r="Q32" s="1">
        <f t="shared" si="6"/>
        <v>600.04389095306396</v>
      </c>
      <c r="R32">
        <f t="shared" si="7"/>
        <v>41629</v>
      </c>
      <c r="S32">
        <f t="shared" si="8"/>
        <v>5415</v>
      </c>
      <c r="T32" s="1">
        <f t="shared" si="9"/>
        <v>600.01080298423699</v>
      </c>
      <c r="U32">
        <f t="shared" si="10"/>
        <v>400</v>
      </c>
      <c r="W32">
        <f t="shared" si="11"/>
        <v>1</v>
      </c>
      <c r="X32">
        <f t="shared" si="12"/>
        <v>1</v>
      </c>
      <c r="Z32" t="str">
        <f t="shared" si="24"/>
        <v>pard400_6 &amp; 12 &amp; 600.02 &amp; 236618 &amp; 7586 &amp; 600.02 &amp; 52559 &amp; 10999 &amp; 600.04 &amp; 41629 &amp; 5415 &amp; 600.01 &amp; 400\\</v>
      </c>
    </row>
    <row r="33" spans="1:26" x14ac:dyDescent="0.2">
      <c r="A33" t="s">
        <v>48</v>
      </c>
      <c r="B33">
        <v>6</v>
      </c>
      <c r="C33" t="s">
        <v>21</v>
      </c>
      <c r="D33" t="s">
        <v>58</v>
      </c>
      <c r="E33">
        <v>1.359005928</v>
      </c>
      <c r="F33">
        <v>236</v>
      </c>
      <c r="G33">
        <v>32</v>
      </c>
      <c r="I33" t="str">
        <f t="shared" si="23"/>
        <v>pard400_6</v>
      </c>
      <c r="J33">
        <v>200</v>
      </c>
      <c r="K33" s="1">
        <f t="shared" si="0"/>
        <v>600.01793190000001</v>
      </c>
      <c r="L33">
        <f t="shared" si="1"/>
        <v>338131</v>
      </c>
      <c r="M33">
        <f t="shared" si="2"/>
        <v>9120</v>
      </c>
      <c r="N33" s="1">
        <f t="shared" si="3"/>
        <v>600.03958109999996</v>
      </c>
      <c r="O33">
        <f t="shared" si="4"/>
        <v>71794</v>
      </c>
      <c r="P33">
        <f t="shared" si="5"/>
        <v>13847</v>
      </c>
      <c r="Q33" s="1">
        <f t="shared" si="6"/>
        <v>600.04759100000001</v>
      </c>
      <c r="R33">
        <f t="shared" si="7"/>
        <v>50983</v>
      </c>
      <c r="S33">
        <f t="shared" si="8"/>
        <v>8922</v>
      </c>
      <c r="T33" s="1">
        <f t="shared" si="9"/>
        <v>600.01112699999999</v>
      </c>
      <c r="U33">
        <f t="shared" si="10"/>
        <v>800</v>
      </c>
      <c r="W33">
        <f t="shared" si="11"/>
        <v>1</v>
      </c>
      <c r="X33">
        <f t="shared" si="12"/>
        <v>1</v>
      </c>
      <c r="Z33" t="str">
        <f>CONCATENATE(I33," &amp; ","nc", " &amp; ", ROUND(K33,2), " &amp; ", L33, " &amp; ", M33, " &amp; ",  ROUND(N33,2), " &amp; ", O33, " &amp; ", P33, " &amp; ", ROUND(Q33,2), " &amp; ", R33, " &amp; ", S33, " &amp; ",  ROUND(T33,2), " &amp; ", U33, "\\")</f>
        <v>pard400_6 &amp; nc &amp; 600.02 &amp; 338131 &amp; 9120 &amp; 600.04 &amp; 71794 &amp; 13847 &amp; 600.05 &amp; 50983 &amp; 8922 &amp; 600.01 &amp; 800\\</v>
      </c>
    </row>
    <row r="34" spans="1:26" x14ac:dyDescent="0.2">
      <c r="A34" t="s">
        <v>0</v>
      </c>
      <c r="B34" t="s">
        <v>14</v>
      </c>
      <c r="C34" t="s">
        <v>15</v>
      </c>
      <c r="D34" t="s">
        <v>16</v>
      </c>
      <c r="E34" t="s">
        <v>17</v>
      </c>
      <c r="F34" t="s">
        <v>18</v>
      </c>
      <c r="G34" t="s">
        <v>19</v>
      </c>
      <c r="I34" t="str">
        <f>CONCATENATE($I$1,"7")</f>
        <v>pard400_7</v>
      </c>
      <c r="J34">
        <v>6</v>
      </c>
      <c r="K34" s="1">
        <f t="shared" si="0"/>
        <v>600.03277111053399</v>
      </c>
      <c r="L34">
        <f t="shared" si="1"/>
        <v>105985</v>
      </c>
      <c r="M34">
        <f t="shared" si="2"/>
        <v>8527</v>
      </c>
      <c r="N34" s="1">
        <f t="shared" si="3"/>
        <v>3.657865047</v>
      </c>
      <c r="O34">
        <f t="shared" si="4"/>
        <v>4736</v>
      </c>
      <c r="P34">
        <f t="shared" si="5"/>
        <v>392</v>
      </c>
      <c r="Q34" s="1">
        <f t="shared" si="6"/>
        <v>72.655005930000002</v>
      </c>
      <c r="R34">
        <f t="shared" si="7"/>
        <v>6080</v>
      </c>
      <c r="S34">
        <f t="shared" si="8"/>
        <v>391</v>
      </c>
      <c r="T34" s="1">
        <f t="shared" si="9"/>
        <v>600.01051089999999</v>
      </c>
      <c r="U34">
        <f t="shared" si="10"/>
        <v>500</v>
      </c>
      <c r="W34">
        <f t="shared" si="11"/>
        <v>1</v>
      </c>
      <c r="X34">
        <f t="shared" si="12"/>
        <v>1</v>
      </c>
      <c r="Z34" t="str">
        <f>CONCATENATE(I34," &amp; ",J34, " &amp; ", ROUND(K34,2), " &amp; ", L34, " &amp; ", M34, " &amp; ",  ROUND(N34,2), " &amp; ", O34, " &amp; ", P34, " &amp; ", ROUND(Q34,2), " &amp; ", R34, " &amp; ", S34, " &amp; ",  ROUND(T34,2), " &amp; ", U34, "\\")</f>
        <v>pard400_7 &amp; 6 &amp; 600.03 &amp; 105985 &amp; 8527 &amp; 3.66 &amp; 4736 &amp; 392 &amp; 72.66 &amp; 6080 &amp; 391 &amp; 600.01 &amp; 500\\</v>
      </c>
    </row>
    <row r="35" spans="1:26" x14ac:dyDescent="0.2">
      <c r="A35" t="s">
        <v>48</v>
      </c>
      <c r="B35">
        <v>6</v>
      </c>
      <c r="C35" t="s">
        <v>21</v>
      </c>
      <c r="D35" t="s">
        <v>59</v>
      </c>
      <c r="E35">
        <v>43.694840190000001</v>
      </c>
      <c r="F35">
        <v>515</v>
      </c>
      <c r="G35">
        <v>32</v>
      </c>
      <c r="I35" t="str">
        <f t="shared" ref="I35:I38" si="25">CONCATENATE($I$1,"7")</f>
        <v>pard400_7</v>
      </c>
      <c r="J35">
        <v>8</v>
      </c>
      <c r="K35" s="1">
        <f t="shared" si="0"/>
        <v>600.01910899999996</v>
      </c>
      <c r="L35">
        <f t="shared" si="1"/>
        <v>149761</v>
      </c>
      <c r="M35">
        <f t="shared" si="2"/>
        <v>12643</v>
      </c>
      <c r="N35" s="1">
        <f t="shared" si="3"/>
        <v>600.04847289999998</v>
      </c>
      <c r="O35">
        <f t="shared" si="4"/>
        <v>193948</v>
      </c>
      <c r="P35">
        <f t="shared" si="5"/>
        <v>10839</v>
      </c>
      <c r="Q35" s="1">
        <f t="shared" si="6"/>
        <v>600.00757099999998</v>
      </c>
      <c r="R35">
        <f t="shared" si="7"/>
        <v>222767</v>
      </c>
      <c r="S35">
        <f t="shared" si="8"/>
        <v>3503</v>
      </c>
      <c r="T35" s="1">
        <f t="shared" si="9"/>
        <v>600.00648999999999</v>
      </c>
      <c r="U35">
        <f t="shared" si="10"/>
        <v>500</v>
      </c>
      <c r="W35">
        <f t="shared" si="11"/>
        <v>1</v>
      </c>
      <c r="X35">
        <f t="shared" si="12"/>
        <v>1</v>
      </c>
      <c r="Z35" t="str">
        <f t="shared" ref="Z35:Z37" si="26">CONCATENATE(I35," &amp; ",J35, " &amp; ", ROUND(K35,2), " &amp; ", L35, " &amp; ", M35, " &amp; ",  ROUND(N35,2), " &amp; ", O35, " &amp; ", P35, " &amp; ", ROUND(Q35,2), " &amp; ", R35, " &amp; ", S35, " &amp; ",  ROUND(T35,2), " &amp; ", U35, "\\")</f>
        <v>pard400_7 &amp; 8 &amp; 600.02 &amp; 149761 &amp; 12643 &amp; 600.05 &amp; 193948 &amp; 10839 &amp; 600.01 &amp; 222767 &amp; 3503 &amp; 600.01 &amp; 500\\</v>
      </c>
    </row>
    <row r="36" spans="1:26" x14ac:dyDescent="0.2">
      <c r="A36" t="s">
        <v>0</v>
      </c>
      <c r="B36" t="s">
        <v>14</v>
      </c>
      <c r="C36" t="s">
        <v>15</v>
      </c>
      <c r="D36" t="s">
        <v>16</v>
      </c>
      <c r="E36" t="s">
        <v>17</v>
      </c>
      <c r="I36" t="str">
        <f t="shared" si="25"/>
        <v>pard400_7</v>
      </c>
      <c r="J36">
        <v>10</v>
      </c>
      <c r="K36" s="1">
        <f t="shared" ref="K36:K67" si="27">SUMIFS(E:E,D:D,"OA",B:B,J36,A:A,I36)</f>
        <v>600.02080579999995</v>
      </c>
      <c r="L36">
        <f t="shared" ref="L36:L53" si="28">SUMIFS(F:F,A:A,I36,B:B,J36,D:D,"OA")</f>
        <v>214248</v>
      </c>
      <c r="M36">
        <f t="shared" ref="M36:M53" si="29">SUMIFS(G:G,D:D,"OA",A:A,I36,B:B,J36)</f>
        <v>9858</v>
      </c>
      <c r="N36" s="1">
        <f t="shared" ref="N36:N53" si="30">SUMIFS(E:E,D:D,"OA Kelley",B:B,J36,A:A,I36)</f>
        <v>600.01738999999998</v>
      </c>
      <c r="O36">
        <f t="shared" ref="O36:O53" si="31">SUMIFS(F:F,A:A,I36,B:B,J36,D:D,"OA Kelley")</f>
        <v>139019</v>
      </c>
      <c r="P36">
        <f t="shared" ref="P36:P53" si="32">SUMIFS(G:G,D:D,"OA Kelley",A:A,I36,B:B,J36)</f>
        <v>8465</v>
      </c>
      <c r="Q36" s="1">
        <f t="shared" ref="Q36:Q53" si="33">SUMIFS(E:E,D:D,"OA Kelley 50",B:B,J36,A:A,I36)</f>
        <v>600.01453709999998</v>
      </c>
      <c r="R36">
        <f t="shared" ref="R36:R53" si="34">SUMIFS(F:F,A:A,I36,B:B,J36,D:D,"OA Kelley 50")</f>
        <v>154333</v>
      </c>
      <c r="S36">
        <f t="shared" ref="S36:S53" si="35">SUMIFS(G:G,D:D,"OA Kelley 50",A:A,I36,B:B,J36)</f>
        <v>5859</v>
      </c>
      <c r="T36" s="1">
        <f t="shared" ref="T36:T53" si="36">SUMIFS(E:E,A:A,I36,B:B,J36,D:D,"CPLEX MISOCP")</f>
        <v>600.00328990000003</v>
      </c>
      <c r="U36">
        <f t="shared" ref="U36:U53" si="37">SUMIFS(F:F,A:A,I36,B:B,J36,D:D,"CPLEX MISOCP")</f>
        <v>485</v>
      </c>
      <c r="W36">
        <f t="shared" ref="W36:W53" si="38">COUNTIFS(D:D,"OA",B:B,J36,A:A,I36)</f>
        <v>1</v>
      </c>
      <c r="X36">
        <f t="shared" ref="X36:X53" si="39">COUNTIFS(D:D,"CPLEX MISOCP",B:B,J36,A:A,I36)</f>
        <v>1</v>
      </c>
      <c r="Z36" t="str">
        <f t="shared" si="26"/>
        <v>pard400_7 &amp; 10 &amp; 600.02 &amp; 214248 &amp; 9858 &amp; 600.02 &amp; 139019 &amp; 8465 &amp; 600.01 &amp; 154333 &amp; 5859 &amp; 600 &amp; 485\\</v>
      </c>
    </row>
    <row r="37" spans="1:26" x14ac:dyDescent="0.2">
      <c r="A37" t="s">
        <v>48</v>
      </c>
      <c r="B37">
        <v>6</v>
      </c>
      <c r="C37" t="s">
        <v>22</v>
      </c>
      <c r="D37" t="s">
        <v>23</v>
      </c>
      <c r="E37">
        <v>600.00303980000001</v>
      </c>
      <c r="F37">
        <v>505</v>
      </c>
      <c r="I37" t="str">
        <f t="shared" si="25"/>
        <v>pard400_7</v>
      </c>
      <c r="J37">
        <v>12</v>
      </c>
      <c r="K37" s="1">
        <f t="shared" si="27"/>
        <v>600.02501419999999</v>
      </c>
      <c r="L37">
        <f t="shared" si="28"/>
        <v>313000</v>
      </c>
      <c r="M37">
        <f t="shared" si="29"/>
        <v>7902</v>
      </c>
      <c r="N37" s="1">
        <f t="shared" si="30"/>
        <v>600.03950910000003</v>
      </c>
      <c r="O37">
        <f t="shared" si="31"/>
        <v>206931</v>
      </c>
      <c r="P37">
        <f t="shared" si="32"/>
        <v>9568</v>
      </c>
      <c r="Q37" s="1">
        <f t="shared" si="33"/>
        <v>600.00865699999997</v>
      </c>
      <c r="R37">
        <f t="shared" si="34"/>
        <v>215057</v>
      </c>
      <c r="S37">
        <f t="shared" si="35"/>
        <v>3773</v>
      </c>
      <c r="T37" s="1">
        <f t="shared" si="36"/>
        <v>600.00627710000003</v>
      </c>
      <c r="U37">
        <f t="shared" si="37"/>
        <v>500</v>
      </c>
      <c r="W37">
        <f t="shared" si="38"/>
        <v>1</v>
      </c>
      <c r="X37">
        <f t="shared" si="39"/>
        <v>1</v>
      </c>
      <c r="Z37" t="str">
        <f t="shared" si="26"/>
        <v>pard400_7 &amp; 12 &amp; 600.03 &amp; 313000 &amp; 7902 &amp; 600.04 &amp; 206931 &amp; 9568 &amp; 600.01 &amp; 215057 &amp; 3773 &amp; 600.01 &amp; 500\\</v>
      </c>
    </row>
    <row r="38" spans="1:26" x14ac:dyDescent="0.2">
      <c r="A38" t="s">
        <v>0</v>
      </c>
      <c r="B38" t="s">
        <v>14</v>
      </c>
      <c r="C38" t="s">
        <v>15</v>
      </c>
      <c r="D38" t="s">
        <v>16</v>
      </c>
      <c r="E38" t="s">
        <v>17</v>
      </c>
      <c r="F38" t="s">
        <v>18</v>
      </c>
      <c r="G38" t="s">
        <v>19</v>
      </c>
      <c r="I38" t="str">
        <f t="shared" si="25"/>
        <v>pard400_7</v>
      </c>
      <c r="J38">
        <v>200</v>
      </c>
      <c r="K38" s="1">
        <f t="shared" si="27"/>
        <v>600.01479600000005</v>
      </c>
      <c r="L38">
        <f t="shared" si="28"/>
        <v>220805</v>
      </c>
      <c r="M38">
        <f t="shared" si="29"/>
        <v>6976</v>
      </c>
      <c r="N38" s="1">
        <f t="shared" si="30"/>
        <v>600.02315499999997</v>
      </c>
      <c r="O38">
        <f t="shared" si="31"/>
        <v>194500</v>
      </c>
      <c r="P38">
        <f t="shared" si="32"/>
        <v>8507</v>
      </c>
      <c r="Q38" s="1">
        <f t="shared" si="33"/>
        <v>600.01973699999996</v>
      </c>
      <c r="R38">
        <f t="shared" si="34"/>
        <v>209600</v>
      </c>
      <c r="S38">
        <f t="shared" si="35"/>
        <v>4971</v>
      </c>
      <c r="T38" s="1">
        <f t="shared" si="36"/>
        <v>600.01</v>
      </c>
      <c r="U38">
        <f t="shared" si="37"/>
        <v>700</v>
      </c>
      <c r="W38">
        <f t="shared" si="38"/>
        <v>1</v>
      </c>
      <c r="X38">
        <f t="shared" si="39"/>
        <v>1</v>
      </c>
      <c r="Z38" t="str">
        <f>CONCATENATE(I38," &amp; ","nc", " &amp; ", ROUND(K38,2), " &amp; ", L38, " &amp; ", M38, " &amp; ",  ROUND(N38,2), " &amp; ", O38, " &amp; ", P38, " &amp; ", ROUND(Q38,2), " &amp; ", R38, " &amp; ", S38, " &amp; ",  ROUND(T38,2), " &amp; ", U38, "\\")</f>
        <v>pard400_7 &amp; nc &amp; 600.01 &amp; 220805 &amp; 6976 &amp; 600.02 &amp; 194500 &amp; 8507 &amp; 600.02 &amp; 209600 &amp; 4971 &amp; 600.01 &amp; 700\\</v>
      </c>
    </row>
    <row r="39" spans="1:26" x14ac:dyDescent="0.2">
      <c r="A39" t="s">
        <v>48</v>
      </c>
      <c r="B39">
        <v>8</v>
      </c>
      <c r="C39" t="s">
        <v>21</v>
      </c>
      <c r="D39" t="s">
        <v>1</v>
      </c>
      <c r="E39">
        <v>600.02172399999995</v>
      </c>
      <c r="F39">
        <v>235000</v>
      </c>
      <c r="G39">
        <v>10154</v>
      </c>
      <c r="I39" t="str">
        <f>CONCATENATE($I$1,"8")</f>
        <v>pard400_8</v>
      </c>
      <c r="J39">
        <v>6</v>
      </c>
      <c r="K39" s="1">
        <f t="shared" si="27"/>
        <v>600.01523999999995</v>
      </c>
      <c r="L39">
        <f t="shared" si="28"/>
        <v>167622</v>
      </c>
      <c r="M39">
        <f t="shared" si="29"/>
        <v>11196</v>
      </c>
      <c r="N39" s="1">
        <f t="shared" si="30"/>
        <v>600.04776409999999</v>
      </c>
      <c r="O39">
        <f t="shared" si="31"/>
        <v>217658</v>
      </c>
      <c r="P39">
        <f t="shared" si="32"/>
        <v>9307</v>
      </c>
      <c r="Q39" s="1">
        <f t="shared" si="33"/>
        <v>600.05432510000003</v>
      </c>
      <c r="R39">
        <f t="shared" si="34"/>
        <v>173204</v>
      </c>
      <c r="S39">
        <f t="shared" si="35"/>
        <v>7609</v>
      </c>
      <c r="T39" s="1">
        <f t="shared" si="36"/>
        <v>600.00570800000003</v>
      </c>
      <c r="U39">
        <f t="shared" si="37"/>
        <v>650</v>
      </c>
      <c r="W39">
        <f t="shared" si="38"/>
        <v>1</v>
      </c>
      <c r="X39">
        <f t="shared" si="39"/>
        <v>1</v>
      </c>
      <c r="Z39" t="str">
        <f>CONCATENATE(I39," &amp; ",J39, " &amp; ", ROUND(K39,2), " &amp; ", L39, " &amp; ", M39, " &amp; ",  ROUND(N39,2), " &amp; ", O39, " &amp; ", P39, " &amp; ", ROUND(Q39,2), " &amp; ", R39, " &amp; ", S39, " &amp; ",  ROUND(T39,2), " &amp; ", U39, "\\")</f>
        <v>pard400_8 &amp; 6 &amp; 600.02 &amp; 167622 &amp; 11196 &amp; 600.05 &amp; 217658 &amp; 9307 &amp; 600.05 &amp; 173204 &amp; 7609 &amp; 600.01 &amp; 650\\</v>
      </c>
    </row>
    <row r="40" spans="1:26" x14ac:dyDescent="0.2">
      <c r="A40" t="s">
        <v>0</v>
      </c>
      <c r="B40" t="s">
        <v>14</v>
      </c>
      <c r="C40" t="s">
        <v>15</v>
      </c>
      <c r="D40" t="s">
        <v>16</v>
      </c>
      <c r="E40" t="s">
        <v>17</v>
      </c>
      <c r="F40" t="s">
        <v>18</v>
      </c>
      <c r="G40" t="s">
        <v>19</v>
      </c>
      <c r="I40" t="str">
        <f t="shared" ref="I40:I43" si="40">CONCATENATE($I$1,"8")</f>
        <v>pard400_8</v>
      </c>
      <c r="J40">
        <v>8</v>
      </c>
      <c r="K40" s="1">
        <f t="shared" si="27"/>
        <v>600.05053210000005</v>
      </c>
      <c r="L40">
        <f t="shared" si="28"/>
        <v>183231</v>
      </c>
      <c r="M40">
        <f t="shared" si="29"/>
        <v>11144</v>
      </c>
      <c r="N40" s="1">
        <f t="shared" si="30"/>
        <v>600.01597500000003</v>
      </c>
      <c r="O40">
        <f t="shared" si="31"/>
        <v>213907</v>
      </c>
      <c r="P40">
        <f t="shared" si="32"/>
        <v>10104</v>
      </c>
      <c r="Q40" s="1">
        <f t="shared" si="33"/>
        <v>600.030123</v>
      </c>
      <c r="R40">
        <f t="shared" si="34"/>
        <v>103100</v>
      </c>
      <c r="S40">
        <f t="shared" si="35"/>
        <v>5954</v>
      </c>
      <c r="T40" s="1">
        <f t="shared" si="36"/>
        <v>600.00877089999994</v>
      </c>
      <c r="U40">
        <f t="shared" si="37"/>
        <v>700</v>
      </c>
      <c r="W40">
        <f t="shared" si="38"/>
        <v>1</v>
      </c>
      <c r="X40">
        <f t="shared" si="39"/>
        <v>1</v>
      </c>
      <c r="Z40" t="str">
        <f t="shared" ref="Z40:Z42" si="41">CONCATENATE(I40," &amp; ",J40, " &amp; ", ROUND(K40,2), " &amp; ", L40, " &amp; ", M40, " &amp; ",  ROUND(N40,2), " &amp; ", O40, " &amp; ", P40, " &amp; ", ROUND(Q40,2), " &amp; ", R40, " &amp; ", S40, " &amp; ",  ROUND(T40,2), " &amp; ", U40, "\\")</f>
        <v>pard400_8 &amp; 8 &amp; 600.05 &amp; 183231 &amp; 11144 &amp; 600.02 &amp; 213907 &amp; 10104 &amp; 600.03 &amp; 103100 &amp; 5954 &amp; 600.01 &amp; 700\\</v>
      </c>
    </row>
    <row r="41" spans="1:26" x14ac:dyDescent="0.2">
      <c r="A41" t="s">
        <v>48</v>
      </c>
      <c r="B41">
        <v>8</v>
      </c>
      <c r="C41" t="s">
        <v>21</v>
      </c>
      <c r="D41" t="s">
        <v>58</v>
      </c>
      <c r="E41">
        <v>1.2399461270000001</v>
      </c>
      <c r="F41">
        <v>385</v>
      </c>
      <c r="G41">
        <v>24</v>
      </c>
      <c r="I41" t="str">
        <f t="shared" si="40"/>
        <v>pard400_8</v>
      </c>
      <c r="J41">
        <v>10</v>
      </c>
      <c r="K41" s="1">
        <f t="shared" si="27"/>
        <v>600.01793499999997</v>
      </c>
      <c r="L41">
        <f t="shared" si="28"/>
        <v>182355</v>
      </c>
      <c r="M41">
        <f t="shared" si="29"/>
        <v>10187</v>
      </c>
      <c r="N41" s="1">
        <f t="shared" si="30"/>
        <v>600.0266881</v>
      </c>
      <c r="O41">
        <f t="shared" si="31"/>
        <v>115627</v>
      </c>
      <c r="P41">
        <f t="shared" si="32"/>
        <v>9215</v>
      </c>
      <c r="Q41" s="1">
        <f t="shared" si="33"/>
        <v>600.05863404273896</v>
      </c>
      <c r="R41">
        <f t="shared" si="34"/>
        <v>35700</v>
      </c>
      <c r="S41">
        <f t="shared" si="35"/>
        <v>4307</v>
      </c>
      <c r="T41" s="1">
        <f t="shared" si="36"/>
        <v>600.00926089286804</v>
      </c>
      <c r="U41">
        <f t="shared" si="37"/>
        <v>360</v>
      </c>
      <c r="W41">
        <f t="shared" si="38"/>
        <v>1</v>
      </c>
      <c r="X41">
        <f t="shared" si="39"/>
        <v>1</v>
      </c>
      <c r="Z41" t="str">
        <f t="shared" si="41"/>
        <v>pard400_8 &amp; 10 &amp; 600.02 &amp; 182355 &amp; 10187 &amp; 600.03 &amp; 115627 &amp; 9215 &amp; 600.06 &amp; 35700 &amp; 4307 &amp; 600.01 &amp; 360\\</v>
      </c>
    </row>
    <row r="42" spans="1:26" x14ac:dyDescent="0.2">
      <c r="A42" t="s">
        <v>0</v>
      </c>
      <c r="B42" t="s">
        <v>14</v>
      </c>
      <c r="C42" t="s">
        <v>15</v>
      </c>
      <c r="D42" t="s">
        <v>16</v>
      </c>
      <c r="E42" t="s">
        <v>17</v>
      </c>
      <c r="F42" t="s">
        <v>18</v>
      </c>
      <c r="G42" t="s">
        <v>19</v>
      </c>
      <c r="I42" t="str">
        <f t="shared" si="40"/>
        <v>pard400_8</v>
      </c>
      <c r="J42">
        <v>12</v>
      </c>
      <c r="K42" s="1">
        <f t="shared" si="27"/>
        <v>600.02152800559998</v>
      </c>
      <c r="L42">
        <f t="shared" si="28"/>
        <v>216996</v>
      </c>
      <c r="M42">
        <f t="shared" si="29"/>
        <v>6149</v>
      </c>
      <c r="N42" s="1">
        <f t="shared" si="30"/>
        <v>600.04291200637795</v>
      </c>
      <c r="O42">
        <f t="shared" si="31"/>
        <v>52424</v>
      </c>
      <c r="P42">
        <f t="shared" si="32"/>
        <v>10552</v>
      </c>
      <c r="Q42" s="1">
        <f t="shared" si="33"/>
        <v>600.01393008232105</v>
      </c>
      <c r="R42">
        <f t="shared" si="34"/>
        <v>52305</v>
      </c>
      <c r="S42">
        <f t="shared" si="35"/>
        <v>9066</v>
      </c>
      <c r="T42" s="1">
        <f t="shared" si="36"/>
        <v>600.01244282722405</v>
      </c>
      <c r="U42">
        <f t="shared" si="37"/>
        <v>700</v>
      </c>
      <c r="W42">
        <f t="shared" si="38"/>
        <v>1</v>
      </c>
      <c r="X42">
        <f t="shared" si="39"/>
        <v>1</v>
      </c>
      <c r="Z42" t="str">
        <f t="shared" si="41"/>
        <v>pard400_8 &amp; 12 &amp; 600.02 &amp; 216996 &amp; 6149 &amp; 600.04 &amp; 52424 &amp; 10552 &amp; 600.01 &amp; 52305 &amp; 9066 &amp; 600.01 &amp; 700\\</v>
      </c>
    </row>
    <row r="43" spans="1:26" x14ac:dyDescent="0.2">
      <c r="A43" t="s">
        <v>48</v>
      </c>
      <c r="B43">
        <v>8</v>
      </c>
      <c r="C43" t="s">
        <v>21</v>
      </c>
      <c r="D43" t="s">
        <v>59</v>
      </c>
      <c r="E43">
        <v>59.488219979999997</v>
      </c>
      <c r="F43">
        <v>750</v>
      </c>
      <c r="G43">
        <v>24</v>
      </c>
      <c r="I43" t="str">
        <f t="shared" si="40"/>
        <v>pard400_8</v>
      </c>
      <c r="J43">
        <v>200</v>
      </c>
      <c r="K43" s="1">
        <f t="shared" si="27"/>
        <v>600.01078510000002</v>
      </c>
      <c r="L43">
        <f t="shared" si="28"/>
        <v>241607</v>
      </c>
      <c r="M43">
        <f t="shared" si="29"/>
        <v>6751</v>
      </c>
      <c r="N43" s="1">
        <f t="shared" si="30"/>
        <v>600.03430289999994</v>
      </c>
      <c r="O43">
        <f t="shared" si="31"/>
        <v>56076</v>
      </c>
      <c r="P43">
        <f t="shared" si="32"/>
        <v>11822</v>
      </c>
      <c r="Q43" s="1">
        <f t="shared" si="33"/>
        <v>600.03135899999995</v>
      </c>
      <c r="R43">
        <f t="shared" si="34"/>
        <v>50585</v>
      </c>
      <c r="S43">
        <f t="shared" si="35"/>
        <v>7702</v>
      </c>
      <c r="T43" s="1">
        <f t="shared" si="36"/>
        <v>600.00488189999999</v>
      </c>
      <c r="U43">
        <f t="shared" si="37"/>
        <v>471</v>
      </c>
      <c r="W43">
        <f t="shared" si="38"/>
        <v>1</v>
      </c>
      <c r="X43">
        <f t="shared" si="39"/>
        <v>1</v>
      </c>
      <c r="Z43" t="str">
        <f>CONCATENATE(I43," &amp; ","nc", " &amp; ", ROUND(K43,2), " &amp; ", L43, " &amp; ", M43, " &amp; ",  ROUND(N43,2), " &amp; ", O43, " &amp; ", P43, " &amp; ", ROUND(Q43,2), " &amp; ", R43, " &amp; ", S43, " &amp; ",  ROUND(T43,2), " &amp; ", U43, "\\")</f>
        <v>pard400_8 &amp; nc &amp; 600.01 &amp; 241607 &amp; 6751 &amp; 600.03 &amp; 56076 &amp; 11822 &amp; 600.03 &amp; 50585 &amp; 7702 &amp; 600 &amp; 471\\</v>
      </c>
    </row>
    <row r="44" spans="1:26" x14ac:dyDescent="0.2">
      <c r="A44" t="s">
        <v>0</v>
      </c>
      <c r="B44" t="s">
        <v>14</v>
      </c>
      <c r="C44" t="s">
        <v>15</v>
      </c>
      <c r="D44" t="s">
        <v>16</v>
      </c>
      <c r="E44" t="s">
        <v>17</v>
      </c>
      <c r="I44" t="str">
        <f>CONCATENATE($I$1,"9")</f>
        <v>pard400_9</v>
      </c>
      <c r="J44">
        <v>6</v>
      </c>
      <c r="K44" s="1">
        <f t="shared" si="27"/>
        <v>600.02976009999998</v>
      </c>
      <c r="L44">
        <f t="shared" si="28"/>
        <v>126467</v>
      </c>
      <c r="M44">
        <f t="shared" si="29"/>
        <v>11143</v>
      </c>
      <c r="N44" s="1">
        <f t="shared" si="30"/>
        <v>600.01736900000003</v>
      </c>
      <c r="O44">
        <f t="shared" si="31"/>
        <v>128447</v>
      </c>
      <c r="P44">
        <f t="shared" si="32"/>
        <v>9437</v>
      </c>
      <c r="Q44" s="1">
        <f t="shared" si="33"/>
        <v>600.01838799999996</v>
      </c>
      <c r="R44">
        <f t="shared" si="34"/>
        <v>106154</v>
      </c>
      <c r="S44">
        <f t="shared" si="35"/>
        <v>7029</v>
      </c>
      <c r="T44" s="1">
        <f t="shared" si="36"/>
        <v>600.00882200000001</v>
      </c>
      <c r="U44">
        <f t="shared" si="37"/>
        <v>600</v>
      </c>
      <c r="W44">
        <f t="shared" si="38"/>
        <v>1</v>
      </c>
      <c r="X44">
        <f t="shared" si="39"/>
        <v>1</v>
      </c>
      <c r="Z44" t="str">
        <f>CONCATENATE(I44," &amp; ",J44, " &amp; ", ROUND(K44,2), " &amp; ", L44, " &amp; ", M44, " &amp; ",  ROUND(N44,2), " &amp; ", O44, " &amp; ", P44, " &amp; ", ROUND(Q44,2), " &amp; ", R44, " &amp; ", S44, " &amp; ",  ROUND(T44,2), " &amp; ", U44, "\\")</f>
        <v>pard400_9 &amp; 6 &amp; 600.03 &amp; 126467 &amp; 11143 &amp; 600.02 &amp; 128447 &amp; 9437 &amp; 600.02 &amp; 106154 &amp; 7029 &amp; 600.01 &amp; 600\\</v>
      </c>
    </row>
    <row r="45" spans="1:26" x14ac:dyDescent="0.2">
      <c r="A45" t="s">
        <v>48</v>
      </c>
      <c r="B45">
        <v>8</v>
      </c>
      <c r="C45" t="s">
        <v>22</v>
      </c>
      <c r="D45" t="s">
        <v>23</v>
      </c>
      <c r="E45">
        <v>600.00346490000004</v>
      </c>
      <c r="F45">
        <v>500</v>
      </c>
      <c r="I45" t="str">
        <f t="shared" ref="I45:I48" si="42">CONCATENATE($I$1,"9")</f>
        <v>pard400_9</v>
      </c>
      <c r="J45">
        <v>8</v>
      </c>
      <c r="K45" s="1">
        <f t="shared" si="27"/>
        <v>600.01553109999998</v>
      </c>
      <c r="L45">
        <f t="shared" si="28"/>
        <v>130310</v>
      </c>
      <c r="M45">
        <f t="shared" si="29"/>
        <v>10582</v>
      </c>
      <c r="N45" s="1">
        <f t="shared" si="30"/>
        <v>600.02954890000001</v>
      </c>
      <c r="O45">
        <f t="shared" si="31"/>
        <v>135646</v>
      </c>
      <c r="P45">
        <f t="shared" si="32"/>
        <v>8579</v>
      </c>
      <c r="Q45" s="1">
        <f t="shared" si="33"/>
        <v>600.02718000000004</v>
      </c>
      <c r="R45">
        <f t="shared" si="34"/>
        <v>88598</v>
      </c>
      <c r="S45">
        <f t="shared" si="35"/>
        <v>6653</v>
      </c>
      <c r="T45" s="1">
        <f t="shared" si="36"/>
        <v>600.00520610000001</v>
      </c>
      <c r="U45">
        <f t="shared" si="37"/>
        <v>700</v>
      </c>
      <c r="W45">
        <f t="shared" si="38"/>
        <v>1</v>
      </c>
      <c r="X45">
        <f t="shared" si="39"/>
        <v>1</v>
      </c>
      <c r="Z45" t="str">
        <f t="shared" ref="Z45:Z47" si="43">CONCATENATE(I45," &amp; ",J45, " &amp; ", ROUND(K45,2), " &amp; ", L45, " &amp; ", M45, " &amp; ",  ROUND(N45,2), " &amp; ", O45, " &amp; ", P45, " &amp; ", ROUND(Q45,2), " &amp; ", R45, " &amp; ", S45, " &amp; ",  ROUND(T45,2), " &amp; ", U45, "\\")</f>
        <v>pard400_9 &amp; 8 &amp; 600.02 &amp; 130310 &amp; 10582 &amp; 600.03 &amp; 135646 &amp; 8579 &amp; 600.03 &amp; 88598 &amp; 6653 &amp; 600.01 &amp; 700\\</v>
      </c>
    </row>
    <row r="46" spans="1:26" x14ac:dyDescent="0.2">
      <c r="A46" t="s">
        <v>0</v>
      </c>
      <c r="B46" t="s">
        <v>14</v>
      </c>
      <c r="C46" t="s">
        <v>15</v>
      </c>
      <c r="D46" t="s">
        <v>16</v>
      </c>
      <c r="E46" t="s">
        <v>17</v>
      </c>
      <c r="F46" t="s">
        <v>18</v>
      </c>
      <c r="G46" t="s">
        <v>19</v>
      </c>
      <c r="I46" t="str">
        <f t="shared" si="42"/>
        <v>pard400_9</v>
      </c>
      <c r="J46">
        <v>10</v>
      </c>
      <c r="K46" s="1">
        <f t="shared" si="27"/>
        <v>600.01911089999999</v>
      </c>
      <c r="L46">
        <f t="shared" si="28"/>
        <v>186530</v>
      </c>
      <c r="M46">
        <f t="shared" si="29"/>
        <v>11157</v>
      </c>
      <c r="N46" s="1">
        <f t="shared" si="30"/>
        <v>600.02606109999999</v>
      </c>
      <c r="O46">
        <f t="shared" si="31"/>
        <v>63558</v>
      </c>
      <c r="P46">
        <f t="shared" si="32"/>
        <v>10574</v>
      </c>
      <c r="Q46" s="1">
        <f t="shared" si="33"/>
        <v>600.0301862</v>
      </c>
      <c r="R46">
        <f t="shared" si="34"/>
        <v>57800</v>
      </c>
      <c r="S46">
        <f t="shared" si="35"/>
        <v>5646</v>
      </c>
      <c r="T46" s="1">
        <f t="shared" si="36"/>
        <v>600.00622989999999</v>
      </c>
      <c r="U46">
        <f t="shared" si="37"/>
        <v>600</v>
      </c>
      <c r="W46">
        <f t="shared" si="38"/>
        <v>1</v>
      </c>
      <c r="X46">
        <f t="shared" si="39"/>
        <v>1</v>
      </c>
      <c r="Z46" t="str">
        <f t="shared" si="43"/>
        <v>pard400_9 &amp; 10 &amp; 600.02 &amp; 186530 &amp; 11157 &amp; 600.03 &amp; 63558 &amp; 10574 &amp; 600.03 &amp; 57800 &amp; 5646 &amp; 600.01 &amp; 600\\</v>
      </c>
    </row>
    <row r="47" spans="1:26" x14ac:dyDescent="0.2">
      <c r="A47" t="s">
        <v>48</v>
      </c>
      <c r="B47">
        <v>10</v>
      </c>
      <c r="C47" t="s">
        <v>21</v>
      </c>
      <c r="D47" t="s">
        <v>1</v>
      </c>
      <c r="E47">
        <v>600.01103090000004</v>
      </c>
      <c r="F47">
        <v>245462</v>
      </c>
      <c r="G47">
        <v>6940</v>
      </c>
      <c r="I47" t="str">
        <f t="shared" si="42"/>
        <v>pard400_9</v>
      </c>
      <c r="J47">
        <v>12</v>
      </c>
      <c r="K47" s="1">
        <f t="shared" si="27"/>
        <v>600.01310899999999</v>
      </c>
      <c r="L47">
        <f t="shared" si="28"/>
        <v>266049</v>
      </c>
      <c r="M47">
        <f t="shared" si="29"/>
        <v>7433</v>
      </c>
      <c r="N47" s="1">
        <f t="shared" si="30"/>
        <v>600.04994199999999</v>
      </c>
      <c r="O47">
        <f t="shared" si="31"/>
        <v>60996</v>
      </c>
      <c r="P47">
        <f t="shared" si="32"/>
        <v>10703</v>
      </c>
      <c r="Q47" s="1">
        <f t="shared" si="33"/>
        <v>600.03599410000004</v>
      </c>
      <c r="R47">
        <f t="shared" si="34"/>
        <v>42554</v>
      </c>
      <c r="S47">
        <f t="shared" si="35"/>
        <v>6381</v>
      </c>
      <c r="T47" s="1">
        <f t="shared" si="36"/>
        <v>600.00285199999996</v>
      </c>
      <c r="U47">
        <f t="shared" si="37"/>
        <v>689</v>
      </c>
      <c r="W47">
        <f t="shared" si="38"/>
        <v>1</v>
      </c>
      <c r="X47">
        <f t="shared" si="39"/>
        <v>1</v>
      </c>
      <c r="Z47" t="str">
        <f t="shared" si="43"/>
        <v>pard400_9 &amp; 12 &amp; 600.01 &amp; 266049 &amp; 7433 &amp; 600.05 &amp; 60996 &amp; 10703 &amp; 600.04 &amp; 42554 &amp; 6381 &amp; 600 &amp; 689\\</v>
      </c>
    </row>
    <row r="48" spans="1:26" x14ac:dyDescent="0.2">
      <c r="A48" t="s">
        <v>0</v>
      </c>
      <c r="B48" t="s">
        <v>14</v>
      </c>
      <c r="C48" t="s">
        <v>15</v>
      </c>
      <c r="D48" t="s">
        <v>16</v>
      </c>
      <c r="E48" t="s">
        <v>17</v>
      </c>
      <c r="F48" t="s">
        <v>18</v>
      </c>
      <c r="G48" t="s">
        <v>19</v>
      </c>
      <c r="I48" t="str">
        <f t="shared" si="42"/>
        <v>pard400_9</v>
      </c>
      <c r="J48">
        <v>200</v>
      </c>
      <c r="K48" s="1">
        <f t="shared" si="27"/>
        <v>600.01088789999994</v>
      </c>
      <c r="L48">
        <f t="shared" si="28"/>
        <v>256078</v>
      </c>
      <c r="M48">
        <f t="shared" si="29"/>
        <v>7535</v>
      </c>
      <c r="N48" s="1">
        <f t="shared" si="30"/>
        <v>600.07702089999998</v>
      </c>
      <c r="O48">
        <f t="shared" si="31"/>
        <v>57278</v>
      </c>
      <c r="P48">
        <f t="shared" si="32"/>
        <v>10543</v>
      </c>
      <c r="Q48" s="1">
        <f t="shared" si="33"/>
        <v>600.01568293571404</v>
      </c>
      <c r="R48">
        <f t="shared" si="34"/>
        <v>38557</v>
      </c>
      <c r="S48">
        <f t="shared" si="35"/>
        <v>6376</v>
      </c>
      <c r="T48" s="1">
        <f t="shared" si="36"/>
        <v>600.00966600000004</v>
      </c>
      <c r="U48">
        <f t="shared" si="37"/>
        <v>800</v>
      </c>
      <c r="W48">
        <f t="shared" si="38"/>
        <v>1</v>
      </c>
      <c r="X48">
        <f t="shared" si="39"/>
        <v>1</v>
      </c>
      <c r="Z48" t="str">
        <f>CONCATENATE(I48," &amp; ","nc", " &amp; ", ROUND(K48,2), " &amp; ", L48, " &amp; ", M48, " &amp; ",  ROUND(N48,2), " &amp; ", O48, " &amp; ", P48, " &amp; ", ROUND(Q48,2), " &amp; ", R48, " &amp; ", S48, " &amp; ",  ROUND(T48,2), " &amp; ", U48, "\\")</f>
        <v>pard400_9 &amp; nc &amp; 600.01 &amp; 256078 &amp; 7535 &amp; 600.08 &amp; 57278 &amp; 10543 &amp; 600.02 &amp; 38557 &amp; 6376 &amp; 600.01 &amp; 800\\</v>
      </c>
    </row>
    <row r="49" spans="1:26" x14ac:dyDescent="0.2">
      <c r="A49" t="s">
        <v>48</v>
      </c>
      <c r="B49">
        <v>10</v>
      </c>
      <c r="C49" t="s">
        <v>21</v>
      </c>
      <c r="D49" t="s">
        <v>58</v>
      </c>
      <c r="E49">
        <v>3.563481092</v>
      </c>
      <c r="F49">
        <v>6937</v>
      </c>
      <c r="G49">
        <v>12</v>
      </c>
      <c r="I49" t="str">
        <f>CONCATENATE($I$1,"10")</f>
        <v>pard400_10</v>
      </c>
      <c r="J49">
        <v>6</v>
      </c>
      <c r="K49" s="1">
        <f t="shared" si="27"/>
        <v>600.01959799999997</v>
      </c>
      <c r="L49">
        <f t="shared" si="28"/>
        <v>179611</v>
      </c>
      <c r="M49">
        <f t="shared" si="29"/>
        <v>12733</v>
      </c>
      <c r="N49" s="1">
        <f t="shared" si="30"/>
        <v>600.02170586585999</v>
      </c>
      <c r="O49">
        <f t="shared" si="31"/>
        <v>245918</v>
      </c>
      <c r="P49">
        <f t="shared" si="32"/>
        <v>7980</v>
      </c>
      <c r="Q49" s="1">
        <f t="shared" si="33"/>
        <v>600.01167799999996</v>
      </c>
      <c r="R49">
        <f t="shared" si="34"/>
        <v>155144</v>
      </c>
      <c r="S49">
        <f t="shared" si="35"/>
        <v>7300</v>
      </c>
      <c r="T49" s="1">
        <f t="shared" si="36"/>
        <v>600.01026200000001</v>
      </c>
      <c r="U49">
        <f t="shared" si="37"/>
        <v>600</v>
      </c>
      <c r="W49">
        <f t="shared" si="38"/>
        <v>1</v>
      </c>
      <c r="X49">
        <f t="shared" si="39"/>
        <v>1</v>
      </c>
      <c r="Z49" t="str">
        <f>CONCATENATE(I49," &amp; ",J49, " &amp; ", ROUND(K49,2), " &amp; ", L49, " &amp; ", M49, " &amp; ",  ROUND(N49,2), " &amp; ", O49, " &amp; ", P49, " &amp; ", ROUND(Q49,2), " &amp; ", R49, " &amp; ", S49, " &amp; ",  ROUND(T49,2), " &amp; ", U49, "\\")</f>
        <v>pard400_10 &amp; 6 &amp; 600.02 &amp; 179611 &amp; 12733 &amp; 600.02 &amp; 245918 &amp; 7980 &amp; 600.01 &amp; 155144 &amp; 7300 &amp; 600.01 &amp; 600\\</v>
      </c>
    </row>
    <row r="50" spans="1:26" x14ac:dyDescent="0.2">
      <c r="A50" t="s">
        <v>0</v>
      </c>
      <c r="B50" t="s">
        <v>14</v>
      </c>
      <c r="C50" t="s">
        <v>15</v>
      </c>
      <c r="D50" t="s">
        <v>16</v>
      </c>
      <c r="E50" t="s">
        <v>17</v>
      </c>
      <c r="F50" t="s">
        <v>18</v>
      </c>
      <c r="G50" t="s">
        <v>19</v>
      </c>
      <c r="I50" t="str">
        <f t="shared" ref="I50:I53" si="44">CONCATENATE($I$1,"10")</f>
        <v>pard400_10</v>
      </c>
      <c r="J50">
        <v>8</v>
      </c>
      <c r="K50" s="1">
        <f t="shared" si="27"/>
        <v>600.01985409999998</v>
      </c>
      <c r="L50">
        <f t="shared" si="28"/>
        <v>123593</v>
      </c>
      <c r="M50">
        <f t="shared" si="29"/>
        <v>10064</v>
      </c>
      <c r="N50" s="1">
        <f t="shared" si="30"/>
        <v>600.03057790000003</v>
      </c>
      <c r="O50">
        <f t="shared" si="31"/>
        <v>198369</v>
      </c>
      <c r="P50">
        <f t="shared" si="32"/>
        <v>8670</v>
      </c>
      <c r="Q50" s="1">
        <f t="shared" si="33"/>
        <v>600.01</v>
      </c>
      <c r="R50">
        <f t="shared" si="34"/>
        <v>36768</v>
      </c>
      <c r="S50">
        <f t="shared" si="35"/>
        <v>2414</v>
      </c>
      <c r="T50" s="1">
        <f t="shared" si="36"/>
        <v>600.00225620000003</v>
      </c>
      <c r="U50">
        <f t="shared" si="37"/>
        <v>680</v>
      </c>
      <c r="W50">
        <f t="shared" si="38"/>
        <v>1</v>
      </c>
      <c r="X50">
        <f t="shared" si="39"/>
        <v>1</v>
      </c>
      <c r="Z50" t="str">
        <f t="shared" ref="Z50:Z52" si="45">CONCATENATE(I50," &amp; ",J50, " &amp; ", ROUND(K50,2), " &amp; ", L50, " &amp; ", M50, " &amp; ",  ROUND(N50,2), " &amp; ", O50, " &amp; ", P50, " &amp; ", ROUND(Q50,2), " &amp; ", R50, " &amp; ", S50, " &amp; ",  ROUND(T50,2), " &amp; ", U50, "\\")</f>
        <v>pard400_10 &amp; 8 &amp; 600.02 &amp; 123593 &amp; 10064 &amp; 600.03 &amp; 198369 &amp; 8670 &amp; 600.01 &amp; 36768 &amp; 2414 &amp; 600 &amp; 680\\</v>
      </c>
    </row>
    <row r="51" spans="1:26" x14ac:dyDescent="0.2">
      <c r="A51" t="s">
        <v>48</v>
      </c>
      <c r="B51">
        <v>10</v>
      </c>
      <c r="C51" t="s">
        <v>21</v>
      </c>
      <c r="D51" t="s">
        <v>59</v>
      </c>
      <c r="E51">
        <v>136.54068799999999</v>
      </c>
      <c r="F51">
        <v>44314</v>
      </c>
      <c r="G51">
        <v>18</v>
      </c>
      <c r="I51" t="str">
        <f t="shared" si="44"/>
        <v>pard400_10</v>
      </c>
      <c r="J51">
        <v>10</v>
      </c>
      <c r="K51" s="1">
        <f t="shared" si="27"/>
        <v>600.06875991821198</v>
      </c>
      <c r="L51">
        <f t="shared" si="28"/>
        <v>164800</v>
      </c>
      <c r="M51">
        <f t="shared" si="29"/>
        <v>8273</v>
      </c>
      <c r="N51" s="1">
        <f t="shared" si="30"/>
        <v>600.09381699562005</v>
      </c>
      <c r="O51">
        <f t="shared" si="31"/>
        <v>46100</v>
      </c>
      <c r="P51">
        <f t="shared" si="32"/>
        <v>9375</v>
      </c>
      <c r="Q51" s="1">
        <f t="shared" si="33"/>
        <v>600.07197904586701</v>
      </c>
      <c r="R51">
        <f t="shared" si="34"/>
        <v>29000</v>
      </c>
      <c r="S51">
        <f t="shared" si="35"/>
        <v>4824</v>
      </c>
      <c r="T51" s="1">
        <f t="shared" si="36"/>
        <v>600.00233006477299</v>
      </c>
      <c r="U51">
        <f t="shared" si="37"/>
        <v>393</v>
      </c>
      <c r="W51">
        <f t="shared" si="38"/>
        <v>1</v>
      </c>
      <c r="X51">
        <f t="shared" si="39"/>
        <v>1</v>
      </c>
      <c r="Z51" t="str">
        <f t="shared" si="45"/>
        <v>pard400_10 &amp; 10 &amp; 600.07 &amp; 164800 &amp; 8273 &amp; 600.09 &amp; 46100 &amp; 9375 &amp; 600.07 &amp; 29000 &amp; 4824 &amp; 600 &amp; 393\\</v>
      </c>
    </row>
    <row r="52" spans="1:26" x14ac:dyDescent="0.2">
      <c r="A52" t="s">
        <v>0</v>
      </c>
      <c r="B52" t="s">
        <v>14</v>
      </c>
      <c r="C52" t="s">
        <v>15</v>
      </c>
      <c r="D52" t="s">
        <v>16</v>
      </c>
      <c r="E52" t="s">
        <v>17</v>
      </c>
      <c r="I52" t="str">
        <f t="shared" si="44"/>
        <v>pard400_10</v>
      </c>
      <c r="J52">
        <v>12</v>
      </c>
      <c r="K52" s="1">
        <f t="shared" si="27"/>
        <v>600.008455991745</v>
      </c>
      <c r="L52">
        <f t="shared" si="28"/>
        <v>193311</v>
      </c>
      <c r="M52">
        <f t="shared" si="29"/>
        <v>5776</v>
      </c>
      <c r="N52" s="1">
        <f t="shared" si="30"/>
        <v>600.04142093658402</v>
      </c>
      <c r="O52">
        <f t="shared" si="31"/>
        <v>52819</v>
      </c>
      <c r="P52">
        <f t="shared" si="32"/>
        <v>9616</v>
      </c>
      <c r="Q52" s="1">
        <f t="shared" si="33"/>
        <v>600.02887010574295</v>
      </c>
      <c r="R52">
        <f t="shared" si="34"/>
        <v>37900</v>
      </c>
      <c r="S52">
        <f t="shared" si="35"/>
        <v>5834</v>
      </c>
      <c r="T52" s="1">
        <f t="shared" si="36"/>
        <v>600.00784611701897</v>
      </c>
      <c r="U52">
        <f t="shared" si="37"/>
        <v>364</v>
      </c>
      <c r="W52">
        <f t="shared" si="38"/>
        <v>1</v>
      </c>
      <c r="X52">
        <f t="shared" si="39"/>
        <v>1</v>
      </c>
      <c r="Z52" t="str">
        <f t="shared" si="45"/>
        <v>pard400_10 &amp; 12 &amp; 600.01 &amp; 193311 &amp; 5776 &amp; 600.04 &amp; 52819 &amp; 9616 &amp; 600.03 &amp; 37900 &amp; 5834 &amp; 600.01 &amp; 364\\</v>
      </c>
    </row>
    <row r="53" spans="1:26" x14ac:dyDescent="0.2">
      <c r="A53" t="s">
        <v>48</v>
      </c>
      <c r="B53">
        <v>10</v>
      </c>
      <c r="C53" t="s">
        <v>22</v>
      </c>
      <c r="D53" t="s">
        <v>23</v>
      </c>
      <c r="E53">
        <v>600.00586199999998</v>
      </c>
      <c r="F53">
        <v>510</v>
      </c>
      <c r="I53" t="str">
        <f t="shared" si="44"/>
        <v>pard400_10</v>
      </c>
      <c r="J53">
        <v>200</v>
      </c>
      <c r="K53" s="1">
        <f t="shared" si="27"/>
        <v>600.01078701019196</v>
      </c>
      <c r="L53">
        <f t="shared" si="28"/>
        <v>193660</v>
      </c>
      <c r="M53">
        <f t="shared" si="29"/>
        <v>5523</v>
      </c>
      <c r="N53" s="1">
        <f t="shared" si="30"/>
        <v>600.02326703071503</v>
      </c>
      <c r="O53">
        <f t="shared" si="31"/>
        <v>40770</v>
      </c>
      <c r="P53">
        <f t="shared" si="32"/>
        <v>8887</v>
      </c>
      <c r="Q53" s="1">
        <f t="shared" si="33"/>
        <v>600.03399991989102</v>
      </c>
      <c r="R53">
        <f t="shared" si="34"/>
        <v>34304</v>
      </c>
      <c r="S53">
        <f t="shared" si="35"/>
        <v>6096</v>
      </c>
      <c r="T53" s="1">
        <f t="shared" si="36"/>
        <v>600.01096606254498</v>
      </c>
      <c r="U53">
        <f t="shared" si="37"/>
        <v>432</v>
      </c>
      <c r="W53">
        <f t="shared" si="38"/>
        <v>1</v>
      </c>
      <c r="X53">
        <f t="shared" si="39"/>
        <v>1</v>
      </c>
      <c r="Z53" t="str">
        <f>CONCATENATE(I53," &amp; ","nc", " &amp; ", ROUND(K53,2), " &amp; ", L53, " &amp; ", M53, " &amp; ",  ROUND(N53,2), " &amp; ", O53, " &amp; ", P53, " &amp; ", ROUND(Q53,2), " &amp; ", R53, " &amp; ", S53, " &amp; ",  ROUND(T53,2), " &amp; ", U53, "\\")</f>
        <v>pard400_10 &amp; nc &amp; 600.01 &amp; 193660 &amp; 5523 &amp; 600.02 &amp; 40770 &amp; 8887 &amp; 600.03 &amp; 34304 &amp; 6096 &amp; 600.01 &amp; 432\\</v>
      </c>
    </row>
    <row r="54" spans="1:26" x14ac:dyDescent="0.2">
      <c r="A54" t="s">
        <v>0</v>
      </c>
      <c r="B54" t="s">
        <v>14</v>
      </c>
      <c r="C54" t="s">
        <v>15</v>
      </c>
      <c r="D54" t="s">
        <v>16</v>
      </c>
      <c r="E54" t="s">
        <v>17</v>
      </c>
      <c r="F54" t="s">
        <v>18</v>
      </c>
      <c r="G54" t="s">
        <v>19</v>
      </c>
    </row>
    <row r="55" spans="1:26" x14ac:dyDescent="0.2">
      <c r="A55" t="s">
        <v>48</v>
      </c>
      <c r="B55">
        <v>12</v>
      </c>
      <c r="C55" t="s">
        <v>21</v>
      </c>
      <c r="D55" t="s">
        <v>1</v>
      </c>
      <c r="E55">
        <v>600.04289200000005</v>
      </c>
      <c r="F55">
        <v>292359</v>
      </c>
      <c r="G55">
        <v>7016</v>
      </c>
      <c r="K55" s="1">
        <f>COUNTIF(K4:K53,0)</f>
        <v>0</v>
      </c>
      <c r="N55" s="1">
        <f>COUNTIF(N4:N53,0)</f>
        <v>0</v>
      </c>
      <c r="Q55" s="1">
        <f>COUNTIF(Q4:Q53,0)</f>
        <v>0</v>
      </c>
      <c r="T55" s="1">
        <f>COUNTIF(T4:T53,0)</f>
        <v>0</v>
      </c>
    </row>
    <row r="56" spans="1:26" x14ac:dyDescent="0.2">
      <c r="A56" t="s">
        <v>0</v>
      </c>
      <c r="B56" t="s">
        <v>14</v>
      </c>
      <c r="C56" t="s">
        <v>15</v>
      </c>
      <c r="D56" t="s">
        <v>16</v>
      </c>
      <c r="E56" t="s">
        <v>17</v>
      </c>
      <c r="F56" t="s">
        <v>18</v>
      </c>
      <c r="G56" t="s">
        <v>19</v>
      </c>
    </row>
    <row r="57" spans="1:26" x14ac:dyDescent="0.2">
      <c r="A57" t="s">
        <v>48</v>
      </c>
      <c r="B57">
        <v>12</v>
      </c>
      <c r="C57" t="s">
        <v>21</v>
      </c>
      <c r="D57" t="s">
        <v>58</v>
      </c>
      <c r="E57">
        <v>57.134063009999998</v>
      </c>
      <c r="F57">
        <v>63851</v>
      </c>
      <c r="G57">
        <v>944</v>
      </c>
    </row>
    <row r="58" spans="1:26" x14ac:dyDescent="0.2">
      <c r="A58" t="s">
        <v>0</v>
      </c>
      <c r="B58" t="s">
        <v>14</v>
      </c>
      <c r="C58" t="s">
        <v>15</v>
      </c>
      <c r="D58" t="s">
        <v>16</v>
      </c>
      <c r="E58" t="s">
        <v>17</v>
      </c>
      <c r="F58" t="s">
        <v>18</v>
      </c>
      <c r="G58" t="s">
        <v>19</v>
      </c>
    </row>
    <row r="59" spans="1:26" x14ac:dyDescent="0.2">
      <c r="A59" t="s">
        <v>48</v>
      </c>
      <c r="B59">
        <v>12</v>
      </c>
      <c r="C59" t="s">
        <v>21</v>
      </c>
      <c r="D59" t="s">
        <v>59</v>
      </c>
      <c r="E59">
        <v>600.00575419999996</v>
      </c>
      <c r="F59">
        <v>139800</v>
      </c>
      <c r="G59">
        <v>935</v>
      </c>
    </row>
    <row r="60" spans="1:26" x14ac:dyDescent="0.2">
      <c r="A60" t="s">
        <v>0</v>
      </c>
      <c r="B60" t="s">
        <v>14</v>
      </c>
      <c r="C60" t="s">
        <v>15</v>
      </c>
      <c r="D60" t="s">
        <v>16</v>
      </c>
      <c r="E60" t="s">
        <v>17</v>
      </c>
      <c r="F60" t="s">
        <v>18</v>
      </c>
      <c r="G60" t="s">
        <v>19</v>
      </c>
    </row>
    <row r="61" spans="1:26" x14ac:dyDescent="0.2">
      <c r="A61" t="s">
        <v>48</v>
      </c>
      <c r="B61">
        <v>200</v>
      </c>
      <c r="C61" t="s">
        <v>21</v>
      </c>
      <c r="D61" t="s">
        <v>58</v>
      </c>
      <c r="E61">
        <v>20.624801160000001</v>
      </c>
      <c r="F61">
        <v>38934</v>
      </c>
      <c r="G61">
        <v>1192</v>
      </c>
    </row>
    <row r="62" spans="1:26" x14ac:dyDescent="0.2">
      <c r="A62" t="s">
        <v>0</v>
      </c>
      <c r="B62" t="s">
        <v>14</v>
      </c>
      <c r="C62" t="s">
        <v>15</v>
      </c>
      <c r="D62" t="s">
        <v>16</v>
      </c>
      <c r="E62" t="s">
        <v>17</v>
      </c>
      <c r="F62" t="s">
        <v>18</v>
      </c>
      <c r="G62" t="s">
        <v>19</v>
      </c>
    </row>
    <row r="63" spans="1:26" x14ac:dyDescent="0.2">
      <c r="A63" t="s">
        <v>48</v>
      </c>
      <c r="B63">
        <v>200</v>
      </c>
      <c r="C63" t="s">
        <v>21</v>
      </c>
      <c r="D63" t="s">
        <v>59</v>
      </c>
      <c r="E63">
        <v>149.75846200000001</v>
      </c>
      <c r="F63">
        <v>60433</v>
      </c>
      <c r="G63">
        <v>1830</v>
      </c>
    </row>
    <row r="64" spans="1:26" x14ac:dyDescent="0.2">
      <c r="A64" t="s">
        <v>0</v>
      </c>
      <c r="B64" t="s">
        <v>14</v>
      </c>
      <c r="C64" t="s">
        <v>15</v>
      </c>
      <c r="D64" t="s">
        <v>16</v>
      </c>
      <c r="E64" t="s">
        <v>17</v>
      </c>
      <c r="F64" t="s">
        <v>18</v>
      </c>
      <c r="G64" t="s">
        <v>19</v>
      </c>
    </row>
    <row r="65" spans="1:7" x14ac:dyDescent="0.2">
      <c r="A65" t="s">
        <v>49</v>
      </c>
      <c r="B65">
        <v>6</v>
      </c>
      <c r="C65" t="s">
        <v>21</v>
      </c>
      <c r="D65" t="s">
        <v>1</v>
      </c>
      <c r="E65">
        <v>600.06833310000002</v>
      </c>
      <c r="F65">
        <v>86783</v>
      </c>
      <c r="G65">
        <v>13657</v>
      </c>
    </row>
    <row r="66" spans="1:7" x14ac:dyDescent="0.2">
      <c r="A66" t="s">
        <v>0</v>
      </c>
      <c r="B66" t="s">
        <v>14</v>
      </c>
      <c r="C66" t="s">
        <v>15</v>
      </c>
      <c r="D66" t="s">
        <v>16</v>
      </c>
      <c r="E66" t="s">
        <v>17</v>
      </c>
      <c r="F66" t="s">
        <v>18</v>
      </c>
      <c r="G66" t="s">
        <v>19</v>
      </c>
    </row>
    <row r="67" spans="1:7" x14ac:dyDescent="0.2">
      <c r="A67" t="s">
        <v>49</v>
      </c>
      <c r="B67">
        <v>6</v>
      </c>
      <c r="C67" t="s">
        <v>21</v>
      </c>
      <c r="D67" t="s">
        <v>58</v>
      </c>
      <c r="E67">
        <v>0.30113220200000002</v>
      </c>
      <c r="F67">
        <v>0</v>
      </c>
      <c r="G67">
        <v>14</v>
      </c>
    </row>
    <row r="68" spans="1:7" x14ac:dyDescent="0.2">
      <c r="A68" t="s">
        <v>0</v>
      </c>
      <c r="B68" t="s">
        <v>14</v>
      </c>
      <c r="C68" t="s">
        <v>15</v>
      </c>
      <c r="D68" t="s">
        <v>16</v>
      </c>
      <c r="E68" t="s">
        <v>17</v>
      </c>
      <c r="F68" t="s">
        <v>18</v>
      </c>
      <c r="G68" t="s">
        <v>19</v>
      </c>
    </row>
    <row r="69" spans="1:7" x14ac:dyDescent="0.2">
      <c r="A69" t="s">
        <v>49</v>
      </c>
      <c r="B69">
        <v>6</v>
      </c>
      <c r="C69" t="s">
        <v>21</v>
      </c>
      <c r="D69" t="s">
        <v>59</v>
      </c>
      <c r="E69">
        <v>0.49354291</v>
      </c>
      <c r="F69">
        <v>0</v>
      </c>
      <c r="G69">
        <v>14</v>
      </c>
    </row>
    <row r="70" spans="1:7" x14ac:dyDescent="0.2">
      <c r="A70" t="s">
        <v>0</v>
      </c>
      <c r="B70" t="s">
        <v>14</v>
      </c>
      <c r="C70" t="s">
        <v>15</v>
      </c>
      <c r="D70" t="s">
        <v>16</v>
      </c>
      <c r="E70" t="s">
        <v>17</v>
      </c>
    </row>
    <row r="71" spans="1:7" x14ac:dyDescent="0.2">
      <c r="A71" t="s">
        <v>49</v>
      </c>
      <c r="B71">
        <v>6</v>
      </c>
      <c r="C71" t="s">
        <v>22</v>
      </c>
      <c r="D71" t="s">
        <v>23</v>
      </c>
      <c r="E71">
        <v>600.00991420000003</v>
      </c>
      <c r="F71">
        <v>500</v>
      </c>
    </row>
    <row r="72" spans="1:7" x14ac:dyDescent="0.2">
      <c r="A72" t="s">
        <v>0</v>
      </c>
      <c r="B72" t="s">
        <v>14</v>
      </c>
      <c r="C72" t="s">
        <v>15</v>
      </c>
      <c r="D72" t="s">
        <v>16</v>
      </c>
      <c r="E72" t="s">
        <v>17</v>
      </c>
      <c r="F72" t="s">
        <v>18</v>
      </c>
      <c r="G72" t="s">
        <v>19</v>
      </c>
    </row>
    <row r="73" spans="1:7" x14ac:dyDescent="0.2">
      <c r="A73" t="s">
        <v>49</v>
      </c>
      <c r="B73">
        <v>8</v>
      </c>
      <c r="C73" t="s">
        <v>21</v>
      </c>
      <c r="D73" t="s">
        <v>1</v>
      </c>
      <c r="E73">
        <v>600.01370099999997</v>
      </c>
      <c r="F73">
        <v>272570</v>
      </c>
      <c r="G73">
        <v>10705</v>
      </c>
    </row>
    <row r="74" spans="1:7" x14ac:dyDescent="0.2">
      <c r="A74" t="s">
        <v>0</v>
      </c>
      <c r="B74" t="s">
        <v>14</v>
      </c>
      <c r="C74" t="s">
        <v>15</v>
      </c>
      <c r="D74" t="s">
        <v>16</v>
      </c>
      <c r="E74" t="s">
        <v>17</v>
      </c>
      <c r="F74" t="s">
        <v>18</v>
      </c>
      <c r="G74" t="s">
        <v>19</v>
      </c>
    </row>
    <row r="75" spans="1:7" x14ac:dyDescent="0.2">
      <c r="A75" t="s">
        <v>49</v>
      </c>
      <c r="B75">
        <v>8</v>
      </c>
      <c r="C75" t="s">
        <v>21</v>
      </c>
      <c r="D75" t="s">
        <v>58</v>
      </c>
      <c r="E75">
        <v>0.39663982399999997</v>
      </c>
      <c r="F75">
        <v>642</v>
      </c>
      <c r="G75">
        <v>20</v>
      </c>
    </row>
    <row r="76" spans="1:7" x14ac:dyDescent="0.2">
      <c r="A76" t="s">
        <v>0</v>
      </c>
      <c r="B76" t="s">
        <v>14</v>
      </c>
      <c r="C76" t="s">
        <v>15</v>
      </c>
      <c r="D76" t="s">
        <v>16</v>
      </c>
      <c r="E76" t="s">
        <v>17</v>
      </c>
      <c r="F76" t="s">
        <v>18</v>
      </c>
      <c r="G76" t="s">
        <v>19</v>
      </c>
    </row>
    <row r="77" spans="1:7" x14ac:dyDescent="0.2">
      <c r="A77" t="s">
        <v>49</v>
      </c>
      <c r="B77">
        <v>8</v>
      </c>
      <c r="C77" t="s">
        <v>21</v>
      </c>
      <c r="D77" t="s">
        <v>59</v>
      </c>
      <c r="E77">
        <v>50.413094039999997</v>
      </c>
      <c r="F77">
        <v>620</v>
      </c>
      <c r="G77">
        <v>20</v>
      </c>
    </row>
    <row r="78" spans="1:7" x14ac:dyDescent="0.2">
      <c r="A78" t="s">
        <v>0</v>
      </c>
      <c r="B78" t="s">
        <v>14</v>
      </c>
      <c r="C78" t="s">
        <v>15</v>
      </c>
      <c r="D78" t="s">
        <v>16</v>
      </c>
      <c r="E78" t="s">
        <v>17</v>
      </c>
    </row>
    <row r="79" spans="1:7" x14ac:dyDescent="0.2">
      <c r="A79" t="s">
        <v>49</v>
      </c>
      <c r="B79">
        <v>8</v>
      </c>
      <c r="C79" t="s">
        <v>22</v>
      </c>
      <c r="D79" t="s">
        <v>23</v>
      </c>
      <c r="E79">
        <v>600.00575609999999</v>
      </c>
      <c r="F79">
        <v>561</v>
      </c>
    </row>
    <row r="80" spans="1:7" x14ac:dyDescent="0.2">
      <c r="A80" t="s">
        <v>0</v>
      </c>
      <c r="B80" t="s">
        <v>14</v>
      </c>
      <c r="C80" t="s">
        <v>15</v>
      </c>
      <c r="D80" t="s">
        <v>16</v>
      </c>
      <c r="E80" t="s">
        <v>17</v>
      </c>
      <c r="F80" t="s">
        <v>18</v>
      </c>
      <c r="G80" t="s">
        <v>19</v>
      </c>
    </row>
    <row r="81" spans="1:7" x14ac:dyDescent="0.2">
      <c r="A81" t="s">
        <v>49</v>
      </c>
      <c r="B81">
        <v>10</v>
      </c>
      <c r="C81" t="s">
        <v>21</v>
      </c>
      <c r="D81" t="s">
        <v>1</v>
      </c>
      <c r="E81">
        <v>600.0105691</v>
      </c>
      <c r="F81">
        <v>289891</v>
      </c>
      <c r="G81">
        <v>8193</v>
      </c>
    </row>
    <row r="82" spans="1:7" x14ac:dyDescent="0.2">
      <c r="A82" t="s">
        <v>0</v>
      </c>
      <c r="B82" t="s">
        <v>14</v>
      </c>
      <c r="C82" t="s">
        <v>15</v>
      </c>
      <c r="D82" t="s">
        <v>16</v>
      </c>
      <c r="E82" t="s">
        <v>17</v>
      </c>
      <c r="F82" t="s">
        <v>18</v>
      </c>
      <c r="G82" t="s">
        <v>19</v>
      </c>
    </row>
    <row r="83" spans="1:7" x14ac:dyDescent="0.2">
      <c r="A83" t="s">
        <v>49</v>
      </c>
      <c r="B83">
        <v>10</v>
      </c>
      <c r="C83" t="s">
        <v>21</v>
      </c>
      <c r="D83" t="s">
        <v>58</v>
      </c>
      <c r="E83">
        <v>0.61095714599999995</v>
      </c>
      <c r="F83">
        <v>516</v>
      </c>
      <c r="G83">
        <v>30</v>
      </c>
    </row>
    <row r="84" spans="1:7" x14ac:dyDescent="0.2">
      <c r="A84" t="s">
        <v>0</v>
      </c>
      <c r="B84" t="s">
        <v>14</v>
      </c>
      <c r="C84" t="s">
        <v>15</v>
      </c>
      <c r="D84" t="s">
        <v>16</v>
      </c>
      <c r="E84" t="s">
        <v>17</v>
      </c>
      <c r="F84" t="s">
        <v>18</v>
      </c>
      <c r="G84" t="s">
        <v>19</v>
      </c>
    </row>
    <row r="85" spans="1:7" x14ac:dyDescent="0.2">
      <c r="A85" t="s">
        <v>49</v>
      </c>
      <c r="B85">
        <v>10</v>
      </c>
      <c r="C85" t="s">
        <v>21</v>
      </c>
      <c r="D85" t="s">
        <v>59</v>
      </c>
      <c r="E85">
        <v>46.848082069999997</v>
      </c>
      <c r="F85">
        <v>879</v>
      </c>
      <c r="G85">
        <v>32</v>
      </c>
    </row>
    <row r="86" spans="1:7" x14ac:dyDescent="0.2">
      <c r="A86" t="s">
        <v>50</v>
      </c>
      <c r="B86">
        <v>6</v>
      </c>
      <c r="C86" t="s">
        <v>21</v>
      </c>
      <c r="D86" t="s">
        <v>1</v>
      </c>
      <c r="E86">
        <v>600.024272</v>
      </c>
      <c r="F86">
        <v>119973</v>
      </c>
      <c r="G86">
        <v>9616</v>
      </c>
    </row>
    <row r="87" spans="1:7" x14ac:dyDescent="0.2">
      <c r="A87" t="s">
        <v>0</v>
      </c>
      <c r="B87" t="s">
        <v>14</v>
      </c>
      <c r="C87" t="s">
        <v>15</v>
      </c>
      <c r="D87" t="s">
        <v>16</v>
      </c>
      <c r="E87" t="s">
        <v>17</v>
      </c>
      <c r="F87" t="s">
        <v>18</v>
      </c>
      <c r="G87" t="s">
        <v>19</v>
      </c>
    </row>
    <row r="88" spans="1:7" x14ac:dyDescent="0.2">
      <c r="A88" t="s">
        <v>50</v>
      </c>
      <c r="B88">
        <v>6</v>
      </c>
      <c r="C88" t="s">
        <v>21</v>
      </c>
      <c r="D88" t="s">
        <v>58</v>
      </c>
      <c r="E88">
        <v>600.02330800000004</v>
      </c>
      <c r="F88">
        <v>141153</v>
      </c>
      <c r="G88">
        <v>9208</v>
      </c>
    </row>
    <row r="89" spans="1:7" x14ac:dyDescent="0.2">
      <c r="A89" t="s">
        <v>0</v>
      </c>
      <c r="B89" t="s">
        <v>14</v>
      </c>
      <c r="C89" t="s">
        <v>15</v>
      </c>
      <c r="D89" t="s">
        <v>16</v>
      </c>
      <c r="E89" t="s">
        <v>17</v>
      </c>
      <c r="F89" t="s">
        <v>18</v>
      </c>
      <c r="G89" t="s">
        <v>19</v>
      </c>
    </row>
    <row r="90" spans="1:7" x14ac:dyDescent="0.2">
      <c r="A90" t="s">
        <v>50</v>
      </c>
      <c r="B90">
        <v>6</v>
      </c>
      <c r="C90" t="s">
        <v>21</v>
      </c>
      <c r="D90" t="s">
        <v>59</v>
      </c>
      <c r="E90">
        <v>600.021929</v>
      </c>
      <c r="F90">
        <v>127059</v>
      </c>
      <c r="G90">
        <v>7060</v>
      </c>
    </row>
    <row r="91" spans="1:7" x14ac:dyDescent="0.2">
      <c r="A91" t="s">
        <v>0</v>
      </c>
      <c r="B91" t="s">
        <v>14</v>
      </c>
      <c r="C91" t="s">
        <v>15</v>
      </c>
      <c r="D91" t="s">
        <v>16</v>
      </c>
      <c r="E91" t="s">
        <v>17</v>
      </c>
    </row>
    <row r="92" spans="1:7" x14ac:dyDescent="0.2">
      <c r="A92" t="s">
        <v>50</v>
      </c>
      <c r="B92">
        <v>6</v>
      </c>
      <c r="C92" t="s">
        <v>22</v>
      </c>
      <c r="D92" t="s">
        <v>23</v>
      </c>
      <c r="E92">
        <v>600.00337790000003</v>
      </c>
      <c r="F92">
        <v>700</v>
      </c>
    </row>
    <row r="93" spans="1:7" x14ac:dyDescent="0.2">
      <c r="A93" t="s">
        <v>0</v>
      </c>
      <c r="B93" t="s">
        <v>14</v>
      </c>
      <c r="C93" t="s">
        <v>15</v>
      </c>
      <c r="D93" t="s">
        <v>16</v>
      </c>
      <c r="E93" t="s">
        <v>17</v>
      </c>
      <c r="F93" t="s">
        <v>18</v>
      </c>
      <c r="G93" t="s">
        <v>19</v>
      </c>
    </row>
    <row r="94" spans="1:7" x14ac:dyDescent="0.2">
      <c r="A94" t="s">
        <v>50</v>
      </c>
      <c r="B94">
        <v>8</v>
      </c>
      <c r="C94" t="s">
        <v>21</v>
      </c>
      <c r="D94" t="s">
        <v>1</v>
      </c>
      <c r="E94">
        <v>600.01539679999996</v>
      </c>
      <c r="F94">
        <v>132612</v>
      </c>
      <c r="G94">
        <v>11365</v>
      </c>
    </row>
    <row r="95" spans="1:7" x14ac:dyDescent="0.2">
      <c r="A95" t="s">
        <v>0</v>
      </c>
      <c r="B95" t="s">
        <v>14</v>
      </c>
      <c r="C95" t="s">
        <v>15</v>
      </c>
      <c r="D95" t="s">
        <v>16</v>
      </c>
      <c r="E95" t="s">
        <v>17</v>
      </c>
      <c r="F95" t="s">
        <v>18</v>
      </c>
      <c r="G95" t="s">
        <v>19</v>
      </c>
    </row>
    <row r="96" spans="1:7" x14ac:dyDescent="0.2">
      <c r="A96" t="s">
        <v>50</v>
      </c>
      <c r="B96">
        <v>8</v>
      </c>
      <c r="C96" t="s">
        <v>21</v>
      </c>
      <c r="D96" t="s">
        <v>58</v>
      </c>
      <c r="E96">
        <v>134.9942269</v>
      </c>
      <c r="F96">
        <v>52966</v>
      </c>
      <c r="G96">
        <v>4089</v>
      </c>
    </row>
    <row r="97" spans="1:7" x14ac:dyDescent="0.2">
      <c r="A97" t="s">
        <v>0</v>
      </c>
      <c r="B97" t="s">
        <v>14</v>
      </c>
      <c r="C97" t="s">
        <v>15</v>
      </c>
      <c r="D97" t="s">
        <v>16</v>
      </c>
      <c r="E97" t="s">
        <v>17</v>
      </c>
      <c r="F97" t="s">
        <v>18</v>
      </c>
      <c r="G97" t="s">
        <v>19</v>
      </c>
    </row>
    <row r="98" spans="1:7" x14ac:dyDescent="0.2">
      <c r="A98" t="s">
        <v>50</v>
      </c>
      <c r="B98">
        <v>8</v>
      </c>
      <c r="C98" t="s">
        <v>21</v>
      </c>
      <c r="D98" t="s">
        <v>59</v>
      </c>
      <c r="E98">
        <v>600.03018120000002</v>
      </c>
      <c r="F98">
        <v>93393</v>
      </c>
      <c r="G98">
        <v>7365</v>
      </c>
    </row>
    <row r="99" spans="1:7" x14ac:dyDescent="0.2">
      <c r="A99" t="s">
        <v>0</v>
      </c>
      <c r="B99" t="s">
        <v>14</v>
      </c>
      <c r="C99" t="s">
        <v>15</v>
      </c>
      <c r="D99" t="s">
        <v>16</v>
      </c>
      <c r="E99" t="s">
        <v>17</v>
      </c>
    </row>
    <row r="100" spans="1:7" x14ac:dyDescent="0.2">
      <c r="A100" t="s">
        <v>50</v>
      </c>
      <c r="B100">
        <v>8</v>
      </c>
      <c r="C100" t="s">
        <v>22</v>
      </c>
      <c r="D100" t="s">
        <v>23</v>
      </c>
      <c r="E100">
        <v>600.00981690000003</v>
      </c>
      <c r="F100">
        <v>600</v>
      </c>
    </row>
    <row r="101" spans="1:7" x14ac:dyDescent="0.2">
      <c r="A101" t="s">
        <v>0</v>
      </c>
      <c r="B101" t="s">
        <v>14</v>
      </c>
      <c r="C101" t="s">
        <v>15</v>
      </c>
      <c r="D101" t="s">
        <v>16</v>
      </c>
      <c r="E101" t="s">
        <v>17</v>
      </c>
      <c r="F101" t="s">
        <v>18</v>
      </c>
      <c r="G101" t="s">
        <v>19</v>
      </c>
    </row>
    <row r="102" spans="1:7" x14ac:dyDescent="0.2">
      <c r="A102" t="s">
        <v>50</v>
      </c>
      <c r="B102">
        <v>10</v>
      </c>
      <c r="C102" t="s">
        <v>21</v>
      </c>
      <c r="D102" t="s">
        <v>1</v>
      </c>
      <c r="E102">
        <v>600.01896190000002</v>
      </c>
      <c r="F102">
        <v>183099</v>
      </c>
      <c r="G102">
        <v>9788</v>
      </c>
    </row>
    <row r="103" spans="1:7" x14ac:dyDescent="0.2">
      <c r="A103" t="s">
        <v>0</v>
      </c>
      <c r="B103" t="s">
        <v>14</v>
      </c>
      <c r="C103" t="s">
        <v>15</v>
      </c>
      <c r="D103" t="s">
        <v>16</v>
      </c>
      <c r="E103" t="s">
        <v>17</v>
      </c>
      <c r="F103" t="s">
        <v>18</v>
      </c>
      <c r="G103" t="s">
        <v>19</v>
      </c>
    </row>
    <row r="104" spans="1:7" x14ac:dyDescent="0.2">
      <c r="A104" t="s">
        <v>50</v>
      </c>
      <c r="B104">
        <v>10</v>
      </c>
      <c r="C104" t="s">
        <v>21</v>
      </c>
      <c r="D104" t="s">
        <v>58</v>
      </c>
      <c r="E104">
        <v>600.06476999999995</v>
      </c>
      <c r="F104">
        <v>51305</v>
      </c>
      <c r="G104">
        <v>10013</v>
      </c>
    </row>
    <row r="105" spans="1:7" x14ac:dyDescent="0.2">
      <c r="A105" t="s">
        <v>0</v>
      </c>
      <c r="B105" t="s">
        <v>14</v>
      </c>
      <c r="C105" t="s">
        <v>15</v>
      </c>
      <c r="D105" t="s">
        <v>16</v>
      </c>
      <c r="E105" t="s">
        <v>17</v>
      </c>
      <c r="F105" t="s">
        <v>18</v>
      </c>
      <c r="G105" t="s">
        <v>19</v>
      </c>
    </row>
    <row r="106" spans="1:7" x14ac:dyDescent="0.2">
      <c r="A106" t="s">
        <v>50</v>
      </c>
      <c r="B106">
        <v>10</v>
      </c>
      <c r="C106" t="s">
        <v>21</v>
      </c>
      <c r="D106" t="s">
        <v>59</v>
      </c>
      <c r="E106">
        <v>600.022965</v>
      </c>
      <c r="F106">
        <v>68414</v>
      </c>
      <c r="G106">
        <v>6456</v>
      </c>
    </row>
    <row r="107" spans="1:7" x14ac:dyDescent="0.2">
      <c r="A107" t="s">
        <v>50</v>
      </c>
      <c r="B107">
        <v>10</v>
      </c>
      <c r="C107" t="s">
        <v>22</v>
      </c>
      <c r="D107" t="s">
        <v>23</v>
      </c>
      <c r="E107">
        <v>600.01</v>
      </c>
      <c r="F107">
        <v>700</v>
      </c>
    </row>
    <row r="108" spans="1:7" x14ac:dyDescent="0.2">
      <c r="A108" t="s">
        <v>51</v>
      </c>
      <c r="B108">
        <v>6</v>
      </c>
      <c r="C108" t="s">
        <v>21</v>
      </c>
      <c r="D108" t="s">
        <v>1</v>
      </c>
      <c r="E108">
        <v>600.04877209999995</v>
      </c>
      <c r="F108">
        <v>116723</v>
      </c>
      <c r="G108">
        <v>11259</v>
      </c>
    </row>
    <row r="109" spans="1:7" x14ac:dyDescent="0.2">
      <c r="A109" t="s">
        <v>0</v>
      </c>
      <c r="B109" t="s">
        <v>14</v>
      </c>
      <c r="C109" t="s">
        <v>15</v>
      </c>
      <c r="D109" t="s">
        <v>16</v>
      </c>
      <c r="E109" t="s">
        <v>17</v>
      </c>
      <c r="F109" t="s">
        <v>18</v>
      </c>
      <c r="G109" t="s">
        <v>19</v>
      </c>
    </row>
    <row r="110" spans="1:7" x14ac:dyDescent="0.2">
      <c r="A110" t="s">
        <v>51</v>
      </c>
      <c r="B110">
        <v>6</v>
      </c>
      <c r="C110" t="s">
        <v>21</v>
      </c>
      <c r="D110" t="s">
        <v>58</v>
      </c>
      <c r="E110">
        <v>600.02480820000005</v>
      </c>
      <c r="F110">
        <v>181476</v>
      </c>
      <c r="G110">
        <v>8698</v>
      </c>
    </row>
    <row r="111" spans="1:7" x14ac:dyDescent="0.2">
      <c r="A111" t="s">
        <v>0</v>
      </c>
      <c r="B111" t="s">
        <v>14</v>
      </c>
      <c r="C111" t="s">
        <v>15</v>
      </c>
      <c r="D111" t="s">
        <v>16</v>
      </c>
      <c r="E111" t="s">
        <v>17</v>
      </c>
      <c r="F111" t="s">
        <v>18</v>
      </c>
      <c r="G111" t="s">
        <v>19</v>
      </c>
    </row>
    <row r="112" spans="1:7" x14ac:dyDescent="0.2">
      <c r="A112" t="s">
        <v>51</v>
      </c>
      <c r="B112">
        <v>6</v>
      </c>
      <c r="C112" t="s">
        <v>21</v>
      </c>
      <c r="D112" t="s">
        <v>59</v>
      </c>
      <c r="E112">
        <v>600.01284310000005</v>
      </c>
      <c r="F112">
        <v>131187</v>
      </c>
      <c r="G112">
        <v>6758</v>
      </c>
    </row>
    <row r="113" spans="1:7" x14ac:dyDescent="0.2">
      <c r="A113" t="s">
        <v>0</v>
      </c>
      <c r="B113" t="s">
        <v>14</v>
      </c>
      <c r="C113" t="s">
        <v>15</v>
      </c>
      <c r="D113" t="s">
        <v>16</v>
      </c>
      <c r="E113" t="s">
        <v>17</v>
      </c>
    </row>
    <row r="114" spans="1:7" x14ac:dyDescent="0.2">
      <c r="A114" t="s">
        <v>51</v>
      </c>
      <c r="B114">
        <v>6</v>
      </c>
      <c r="C114" t="s">
        <v>22</v>
      </c>
      <c r="D114" t="s">
        <v>23</v>
      </c>
      <c r="E114">
        <v>600.00605110000004</v>
      </c>
      <c r="F114">
        <v>691</v>
      </c>
    </row>
    <row r="115" spans="1:7" x14ac:dyDescent="0.2">
      <c r="A115" t="s">
        <v>0</v>
      </c>
      <c r="B115" t="s">
        <v>14</v>
      </c>
      <c r="C115" t="s">
        <v>15</v>
      </c>
      <c r="D115" t="s">
        <v>16</v>
      </c>
      <c r="E115" t="s">
        <v>17</v>
      </c>
      <c r="F115" t="s">
        <v>18</v>
      </c>
      <c r="G115" t="s">
        <v>19</v>
      </c>
    </row>
    <row r="116" spans="1:7" x14ac:dyDescent="0.2">
      <c r="A116" t="s">
        <v>51</v>
      </c>
      <c r="B116">
        <v>8</v>
      </c>
      <c r="C116" t="s">
        <v>21</v>
      </c>
      <c r="D116" t="s">
        <v>1</v>
      </c>
      <c r="E116">
        <v>600.01803489999998</v>
      </c>
      <c r="F116">
        <v>161137</v>
      </c>
      <c r="G116">
        <v>10700</v>
      </c>
    </row>
    <row r="117" spans="1:7" x14ac:dyDescent="0.2">
      <c r="A117" t="s">
        <v>0</v>
      </c>
      <c r="B117" t="s">
        <v>14</v>
      </c>
      <c r="C117" t="s">
        <v>15</v>
      </c>
      <c r="D117" t="s">
        <v>16</v>
      </c>
      <c r="E117" t="s">
        <v>17</v>
      </c>
      <c r="F117" t="s">
        <v>18</v>
      </c>
      <c r="G117" t="s">
        <v>19</v>
      </c>
    </row>
    <row r="118" spans="1:7" x14ac:dyDescent="0.2">
      <c r="A118" t="s">
        <v>51</v>
      </c>
      <c r="B118">
        <v>8</v>
      </c>
      <c r="C118" t="s">
        <v>21</v>
      </c>
      <c r="D118" t="s">
        <v>58</v>
      </c>
      <c r="E118">
        <v>600.01274390000003</v>
      </c>
      <c r="F118">
        <v>202062</v>
      </c>
      <c r="G118">
        <v>9698</v>
      </c>
    </row>
    <row r="119" spans="1:7" x14ac:dyDescent="0.2">
      <c r="A119" t="s">
        <v>0</v>
      </c>
      <c r="B119" t="s">
        <v>14</v>
      </c>
      <c r="C119" t="s">
        <v>15</v>
      </c>
      <c r="D119" t="s">
        <v>16</v>
      </c>
      <c r="E119" t="s">
        <v>17</v>
      </c>
      <c r="F119" t="s">
        <v>18</v>
      </c>
      <c r="G119" t="s">
        <v>19</v>
      </c>
    </row>
    <row r="120" spans="1:7" x14ac:dyDescent="0.2">
      <c r="A120" t="s">
        <v>51</v>
      </c>
      <c r="B120">
        <v>8</v>
      </c>
      <c r="C120" t="s">
        <v>21</v>
      </c>
      <c r="D120" t="s">
        <v>59</v>
      </c>
      <c r="E120">
        <v>600.01507500000002</v>
      </c>
      <c r="F120">
        <v>105421</v>
      </c>
      <c r="G120">
        <v>8449</v>
      </c>
    </row>
    <row r="121" spans="1:7" x14ac:dyDescent="0.2">
      <c r="A121" t="s">
        <v>0</v>
      </c>
      <c r="B121" t="s">
        <v>14</v>
      </c>
      <c r="C121" t="s">
        <v>15</v>
      </c>
      <c r="D121" t="s">
        <v>16</v>
      </c>
      <c r="E121" t="s">
        <v>17</v>
      </c>
    </row>
    <row r="122" spans="1:7" x14ac:dyDescent="0.2">
      <c r="A122" t="s">
        <v>51</v>
      </c>
      <c r="B122">
        <v>8</v>
      </c>
      <c r="C122" t="s">
        <v>22</v>
      </c>
      <c r="D122" t="s">
        <v>23</v>
      </c>
      <c r="E122">
        <v>600.00908679999998</v>
      </c>
      <c r="F122">
        <v>700</v>
      </c>
    </row>
    <row r="123" spans="1:7" x14ac:dyDescent="0.2">
      <c r="A123" t="s">
        <v>0</v>
      </c>
      <c r="B123" t="s">
        <v>14</v>
      </c>
      <c r="C123" t="s">
        <v>15</v>
      </c>
      <c r="D123" t="s">
        <v>16</v>
      </c>
      <c r="E123" t="s">
        <v>17</v>
      </c>
      <c r="F123" t="s">
        <v>18</v>
      </c>
      <c r="G123" t="s">
        <v>19</v>
      </c>
    </row>
    <row r="124" spans="1:7" x14ac:dyDescent="0.2">
      <c r="A124" t="s">
        <v>51</v>
      </c>
      <c r="B124">
        <v>10</v>
      </c>
      <c r="C124" t="s">
        <v>21</v>
      </c>
      <c r="D124" t="s">
        <v>1</v>
      </c>
      <c r="E124">
        <v>600.01835610000001</v>
      </c>
      <c r="F124">
        <v>141250</v>
      </c>
      <c r="G124">
        <v>11365</v>
      </c>
    </row>
    <row r="125" spans="1:7" x14ac:dyDescent="0.2">
      <c r="A125" t="s">
        <v>0</v>
      </c>
      <c r="B125" t="s">
        <v>14</v>
      </c>
      <c r="C125" t="s">
        <v>15</v>
      </c>
      <c r="D125" t="s">
        <v>16</v>
      </c>
      <c r="E125" t="s">
        <v>17</v>
      </c>
      <c r="F125" t="s">
        <v>18</v>
      </c>
      <c r="G125" t="s">
        <v>19</v>
      </c>
    </row>
    <row r="126" spans="1:7" x14ac:dyDescent="0.2">
      <c r="A126" t="s">
        <v>51</v>
      </c>
      <c r="B126">
        <v>10</v>
      </c>
      <c r="C126" t="s">
        <v>21</v>
      </c>
      <c r="D126" t="s">
        <v>58</v>
      </c>
      <c r="E126">
        <v>600.05959389999998</v>
      </c>
      <c r="F126">
        <v>80800</v>
      </c>
      <c r="G126">
        <v>11170</v>
      </c>
    </row>
    <row r="127" spans="1:7" x14ac:dyDescent="0.2">
      <c r="A127" t="s">
        <v>0</v>
      </c>
      <c r="B127" t="s">
        <v>14</v>
      </c>
      <c r="C127" t="s">
        <v>15</v>
      </c>
      <c r="D127" t="s">
        <v>16</v>
      </c>
      <c r="E127" t="s">
        <v>17</v>
      </c>
      <c r="F127" t="s">
        <v>18</v>
      </c>
      <c r="G127" t="s">
        <v>19</v>
      </c>
    </row>
    <row r="128" spans="1:7" x14ac:dyDescent="0.2">
      <c r="A128" t="s">
        <v>51</v>
      </c>
      <c r="B128">
        <v>10</v>
      </c>
      <c r="C128" t="s">
        <v>21</v>
      </c>
      <c r="D128" t="s">
        <v>59</v>
      </c>
      <c r="E128">
        <v>600.04346199999998</v>
      </c>
      <c r="F128">
        <v>56700</v>
      </c>
      <c r="G128">
        <v>7828</v>
      </c>
    </row>
    <row r="129" spans="1:7" x14ac:dyDescent="0.2">
      <c r="A129" t="s">
        <v>51</v>
      </c>
      <c r="B129">
        <v>10</v>
      </c>
      <c r="C129" t="s">
        <v>22</v>
      </c>
      <c r="D129" t="s">
        <v>23</v>
      </c>
      <c r="E129">
        <v>600.01</v>
      </c>
      <c r="F129">
        <v>700</v>
      </c>
    </row>
    <row r="130" spans="1:7" x14ac:dyDescent="0.2">
      <c r="A130" t="s">
        <v>52</v>
      </c>
      <c r="B130">
        <v>6</v>
      </c>
      <c r="C130" t="s">
        <v>21</v>
      </c>
      <c r="D130" t="s">
        <v>58</v>
      </c>
      <c r="E130">
        <v>3.657865047</v>
      </c>
      <c r="F130">
        <v>4736</v>
      </c>
      <c r="G130">
        <v>392</v>
      </c>
    </row>
    <row r="131" spans="1:7" x14ac:dyDescent="0.2">
      <c r="A131" t="s">
        <v>0</v>
      </c>
      <c r="B131" t="s">
        <v>14</v>
      </c>
      <c r="C131" t="s">
        <v>15</v>
      </c>
      <c r="D131" t="s">
        <v>16</v>
      </c>
      <c r="E131" t="s">
        <v>17</v>
      </c>
      <c r="F131" t="s">
        <v>18</v>
      </c>
      <c r="G131" t="s">
        <v>19</v>
      </c>
    </row>
    <row r="132" spans="1:7" x14ac:dyDescent="0.2">
      <c r="A132" t="s">
        <v>52</v>
      </c>
      <c r="B132">
        <v>6</v>
      </c>
      <c r="C132" t="s">
        <v>21</v>
      </c>
      <c r="D132" t="s">
        <v>59</v>
      </c>
      <c r="E132">
        <v>72.655005930000002</v>
      </c>
      <c r="F132">
        <v>6080</v>
      </c>
      <c r="G132">
        <v>391</v>
      </c>
    </row>
    <row r="133" spans="1:7" x14ac:dyDescent="0.2">
      <c r="A133" t="s">
        <v>0</v>
      </c>
      <c r="B133" t="s">
        <v>14</v>
      </c>
      <c r="C133" t="s">
        <v>15</v>
      </c>
      <c r="D133" t="s">
        <v>16</v>
      </c>
      <c r="E133" t="s">
        <v>17</v>
      </c>
    </row>
    <row r="134" spans="1:7" x14ac:dyDescent="0.2">
      <c r="A134" t="s">
        <v>52</v>
      </c>
      <c r="B134">
        <v>6</v>
      </c>
      <c r="C134" t="s">
        <v>22</v>
      </c>
      <c r="D134" t="s">
        <v>23</v>
      </c>
      <c r="E134">
        <v>600.01051089999999</v>
      </c>
      <c r="F134">
        <v>500</v>
      </c>
    </row>
    <row r="135" spans="1:7" x14ac:dyDescent="0.2">
      <c r="A135" t="s">
        <v>0</v>
      </c>
      <c r="B135" t="s">
        <v>14</v>
      </c>
      <c r="C135" t="s">
        <v>15</v>
      </c>
      <c r="D135" t="s">
        <v>16</v>
      </c>
      <c r="E135" t="s">
        <v>17</v>
      </c>
      <c r="F135" t="s">
        <v>18</v>
      </c>
      <c r="G135" t="s">
        <v>19</v>
      </c>
    </row>
    <row r="136" spans="1:7" x14ac:dyDescent="0.2">
      <c r="A136" t="s">
        <v>52</v>
      </c>
      <c r="B136">
        <v>8</v>
      </c>
      <c r="C136" t="s">
        <v>21</v>
      </c>
      <c r="D136" t="s">
        <v>1</v>
      </c>
      <c r="E136">
        <v>600.01910899999996</v>
      </c>
      <c r="F136">
        <v>149761</v>
      </c>
      <c r="G136">
        <v>12643</v>
      </c>
    </row>
    <row r="137" spans="1:7" x14ac:dyDescent="0.2">
      <c r="A137" t="s">
        <v>0</v>
      </c>
      <c r="B137" t="s">
        <v>14</v>
      </c>
      <c r="C137" t="s">
        <v>15</v>
      </c>
      <c r="D137" t="s">
        <v>16</v>
      </c>
      <c r="E137" t="s">
        <v>17</v>
      </c>
      <c r="F137" t="s">
        <v>18</v>
      </c>
      <c r="G137" t="s">
        <v>19</v>
      </c>
    </row>
    <row r="138" spans="1:7" x14ac:dyDescent="0.2">
      <c r="A138" t="s">
        <v>52</v>
      </c>
      <c r="B138">
        <v>8</v>
      </c>
      <c r="C138" t="s">
        <v>21</v>
      </c>
      <c r="D138" t="s">
        <v>58</v>
      </c>
      <c r="E138">
        <v>600.04847289999998</v>
      </c>
      <c r="F138">
        <v>193948</v>
      </c>
      <c r="G138">
        <v>10839</v>
      </c>
    </row>
    <row r="139" spans="1:7" x14ac:dyDescent="0.2">
      <c r="A139" t="s">
        <v>0</v>
      </c>
      <c r="B139" t="s">
        <v>14</v>
      </c>
      <c r="C139" t="s">
        <v>15</v>
      </c>
      <c r="D139" t="s">
        <v>16</v>
      </c>
      <c r="E139" t="s">
        <v>17</v>
      </c>
      <c r="F139" t="s">
        <v>18</v>
      </c>
      <c r="G139" t="s">
        <v>19</v>
      </c>
    </row>
    <row r="140" spans="1:7" x14ac:dyDescent="0.2">
      <c r="A140" t="s">
        <v>52</v>
      </c>
      <c r="B140">
        <v>8</v>
      </c>
      <c r="C140" t="s">
        <v>21</v>
      </c>
      <c r="D140" t="s">
        <v>59</v>
      </c>
      <c r="E140">
        <v>600.00757099999998</v>
      </c>
      <c r="F140">
        <v>222767</v>
      </c>
      <c r="G140">
        <v>3503</v>
      </c>
    </row>
    <row r="141" spans="1:7" x14ac:dyDescent="0.2">
      <c r="A141" t="s">
        <v>0</v>
      </c>
      <c r="B141" t="s">
        <v>14</v>
      </c>
      <c r="C141" t="s">
        <v>15</v>
      </c>
      <c r="D141" t="s">
        <v>16</v>
      </c>
      <c r="E141" t="s">
        <v>17</v>
      </c>
    </row>
    <row r="142" spans="1:7" x14ac:dyDescent="0.2">
      <c r="A142" t="s">
        <v>52</v>
      </c>
      <c r="B142">
        <v>8</v>
      </c>
      <c r="C142" t="s">
        <v>22</v>
      </c>
      <c r="D142" t="s">
        <v>23</v>
      </c>
      <c r="E142">
        <v>600.00648999999999</v>
      </c>
      <c r="F142">
        <v>500</v>
      </c>
    </row>
    <row r="143" spans="1:7" x14ac:dyDescent="0.2">
      <c r="A143" t="s">
        <v>0</v>
      </c>
      <c r="B143" t="s">
        <v>14</v>
      </c>
      <c r="C143" t="s">
        <v>15</v>
      </c>
      <c r="D143" t="s">
        <v>16</v>
      </c>
      <c r="E143" t="s">
        <v>17</v>
      </c>
      <c r="F143" t="s">
        <v>18</v>
      </c>
      <c r="G143" t="s">
        <v>19</v>
      </c>
    </row>
    <row r="144" spans="1:7" x14ac:dyDescent="0.2">
      <c r="A144" t="s">
        <v>52</v>
      </c>
      <c r="B144">
        <v>10</v>
      </c>
      <c r="C144" t="s">
        <v>21</v>
      </c>
      <c r="D144" t="s">
        <v>1</v>
      </c>
      <c r="E144">
        <v>600.02080579999995</v>
      </c>
      <c r="F144">
        <v>214248</v>
      </c>
      <c r="G144">
        <v>9858</v>
      </c>
    </row>
    <row r="145" spans="1:7" x14ac:dyDescent="0.2">
      <c r="A145" t="s">
        <v>0</v>
      </c>
      <c r="B145" t="s">
        <v>14</v>
      </c>
      <c r="C145" t="s">
        <v>15</v>
      </c>
      <c r="D145" t="s">
        <v>16</v>
      </c>
      <c r="E145" t="s">
        <v>17</v>
      </c>
      <c r="F145" t="s">
        <v>18</v>
      </c>
      <c r="G145" t="s">
        <v>19</v>
      </c>
    </row>
    <row r="146" spans="1:7" x14ac:dyDescent="0.2">
      <c r="A146" t="s">
        <v>52</v>
      </c>
      <c r="B146">
        <v>10</v>
      </c>
      <c r="C146" t="s">
        <v>21</v>
      </c>
      <c r="D146" t="s">
        <v>58</v>
      </c>
      <c r="E146">
        <v>600.01738999999998</v>
      </c>
      <c r="F146">
        <v>139019</v>
      </c>
      <c r="G146">
        <v>8465</v>
      </c>
    </row>
    <row r="147" spans="1:7" x14ac:dyDescent="0.2">
      <c r="A147" t="s">
        <v>0</v>
      </c>
      <c r="B147" t="s">
        <v>14</v>
      </c>
      <c r="C147" t="s">
        <v>15</v>
      </c>
      <c r="D147" t="s">
        <v>16</v>
      </c>
      <c r="E147" t="s">
        <v>17</v>
      </c>
      <c r="F147" t="s">
        <v>18</v>
      </c>
      <c r="G147" t="s">
        <v>19</v>
      </c>
    </row>
    <row r="148" spans="1:7" x14ac:dyDescent="0.2">
      <c r="A148" t="s">
        <v>52</v>
      </c>
      <c r="B148">
        <v>10</v>
      </c>
      <c r="C148" t="s">
        <v>21</v>
      </c>
      <c r="D148" t="s">
        <v>59</v>
      </c>
      <c r="E148">
        <v>600.01453709999998</v>
      </c>
      <c r="F148">
        <v>154333</v>
      </c>
      <c r="G148">
        <v>5859</v>
      </c>
    </row>
    <row r="149" spans="1:7" x14ac:dyDescent="0.2">
      <c r="A149" t="s">
        <v>0</v>
      </c>
      <c r="B149" t="s">
        <v>14</v>
      </c>
      <c r="C149" t="s">
        <v>15</v>
      </c>
      <c r="D149" t="s">
        <v>16</v>
      </c>
      <c r="E149" t="s">
        <v>17</v>
      </c>
    </row>
    <row r="150" spans="1:7" x14ac:dyDescent="0.2">
      <c r="A150" t="s">
        <v>52</v>
      </c>
      <c r="B150">
        <v>10</v>
      </c>
      <c r="C150" t="s">
        <v>22</v>
      </c>
      <c r="D150" t="s">
        <v>23</v>
      </c>
      <c r="E150">
        <v>600.00328990000003</v>
      </c>
      <c r="F150">
        <v>485</v>
      </c>
    </row>
    <row r="151" spans="1:7" x14ac:dyDescent="0.2">
      <c r="A151" t="s">
        <v>0</v>
      </c>
      <c r="B151" t="s">
        <v>14</v>
      </c>
      <c r="C151" t="s">
        <v>15</v>
      </c>
      <c r="D151" t="s">
        <v>16</v>
      </c>
      <c r="E151" t="s">
        <v>17</v>
      </c>
      <c r="F151" t="s">
        <v>18</v>
      </c>
      <c r="G151" t="s">
        <v>19</v>
      </c>
    </row>
    <row r="152" spans="1:7" x14ac:dyDescent="0.2">
      <c r="A152" t="s">
        <v>52</v>
      </c>
      <c r="B152">
        <v>12</v>
      </c>
      <c r="C152" t="s">
        <v>21</v>
      </c>
      <c r="D152" t="s">
        <v>1</v>
      </c>
      <c r="E152">
        <v>600.02501419999999</v>
      </c>
      <c r="F152">
        <v>313000</v>
      </c>
      <c r="G152">
        <v>7902</v>
      </c>
    </row>
    <row r="153" spans="1:7" x14ac:dyDescent="0.2">
      <c r="A153" t="s">
        <v>0</v>
      </c>
      <c r="B153" t="s">
        <v>14</v>
      </c>
      <c r="C153" t="s">
        <v>15</v>
      </c>
      <c r="D153" t="s">
        <v>16</v>
      </c>
      <c r="E153" t="s">
        <v>17</v>
      </c>
      <c r="F153" t="s">
        <v>18</v>
      </c>
      <c r="G153" t="s">
        <v>19</v>
      </c>
    </row>
    <row r="154" spans="1:7" x14ac:dyDescent="0.2">
      <c r="A154" t="s">
        <v>52</v>
      </c>
      <c r="B154">
        <v>12</v>
      </c>
      <c r="C154" t="s">
        <v>21</v>
      </c>
      <c r="D154" t="s">
        <v>58</v>
      </c>
      <c r="E154">
        <v>600.03950910000003</v>
      </c>
      <c r="F154">
        <v>206931</v>
      </c>
      <c r="G154">
        <v>9568</v>
      </c>
    </row>
    <row r="155" spans="1:7" x14ac:dyDescent="0.2">
      <c r="A155" t="s">
        <v>0</v>
      </c>
      <c r="B155" t="s">
        <v>14</v>
      </c>
      <c r="C155" t="s">
        <v>15</v>
      </c>
      <c r="D155" t="s">
        <v>16</v>
      </c>
      <c r="E155" t="s">
        <v>17</v>
      </c>
      <c r="F155" t="s">
        <v>18</v>
      </c>
      <c r="G155" t="s">
        <v>19</v>
      </c>
    </row>
    <row r="156" spans="1:7" x14ac:dyDescent="0.2">
      <c r="A156" t="s">
        <v>52</v>
      </c>
      <c r="B156">
        <v>12</v>
      </c>
      <c r="C156" t="s">
        <v>21</v>
      </c>
      <c r="D156" t="s">
        <v>59</v>
      </c>
      <c r="E156">
        <v>600.00865699999997</v>
      </c>
      <c r="F156">
        <v>215057</v>
      </c>
      <c r="G156">
        <v>3773</v>
      </c>
    </row>
    <row r="157" spans="1:7" x14ac:dyDescent="0.2">
      <c r="A157" t="s">
        <v>0</v>
      </c>
      <c r="B157" t="s">
        <v>14</v>
      </c>
      <c r="C157" t="s">
        <v>15</v>
      </c>
      <c r="D157" t="s">
        <v>16</v>
      </c>
      <c r="E157" t="s">
        <v>17</v>
      </c>
    </row>
    <row r="158" spans="1:7" x14ac:dyDescent="0.2">
      <c r="A158" t="s">
        <v>52</v>
      </c>
      <c r="B158">
        <v>12</v>
      </c>
      <c r="C158" t="s">
        <v>22</v>
      </c>
      <c r="D158" t="s">
        <v>23</v>
      </c>
      <c r="E158">
        <v>600.00627710000003</v>
      </c>
      <c r="F158">
        <v>500</v>
      </c>
    </row>
    <row r="159" spans="1:7" x14ac:dyDescent="0.2">
      <c r="A159" t="s">
        <v>0</v>
      </c>
      <c r="B159" t="s">
        <v>14</v>
      </c>
      <c r="C159" t="s">
        <v>15</v>
      </c>
      <c r="D159" t="s">
        <v>16</v>
      </c>
      <c r="E159" t="s">
        <v>17</v>
      </c>
      <c r="F159" t="s">
        <v>18</v>
      </c>
      <c r="G159" t="s">
        <v>19</v>
      </c>
    </row>
    <row r="160" spans="1:7" x14ac:dyDescent="0.2">
      <c r="A160" t="s">
        <v>52</v>
      </c>
      <c r="B160">
        <v>200</v>
      </c>
      <c r="C160" t="s">
        <v>21</v>
      </c>
      <c r="D160" t="s">
        <v>1</v>
      </c>
      <c r="E160">
        <v>600.01479600000005</v>
      </c>
      <c r="F160">
        <v>220805</v>
      </c>
      <c r="G160">
        <v>6976</v>
      </c>
    </row>
    <row r="161" spans="1:7" x14ac:dyDescent="0.2">
      <c r="A161" t="s">
        <v>0</v>
      </c>
      <c r="B161" t="s">
        <v>14</v>
      </c>
      <c r="C161" t="s">
        <v>15</v>
      </c>
      <c r="D161" t="s">
        <v>16</v>
      </c>
      <c r="E161" t="s">
        <v>17</v>
      </c>
      <c r="F161" t="s">
        <v>18</v>
      </c>
      <c r="G161" t="s">
        <v>19</v>
      </c>
    </row>
    <row r="162" spans="1:7" x14ac:dyDescent="0.2">
      <c r="A162" t="s">
        <v>52</v>
      </c>
      <c r="B162">
        <v>200</v>
      </c>
      <c r="C162" t="s">
        <v>21</v>
      </c>
      <c r="D162" t="s">
        <v>58</v>
      </c>
      <c r="E162">
        <v>600.02315499999997</v>
      </c>
      <c r="F162">
        <v>194500</v>
      </c>
      <c r="G162">
        <v>8507</v>
      </c>
    </row>
    <row r="163" spans="1:7" x14ac:dyDescent="0.2">
      <c r="A163" t="s">
        <v>0</v>
      </c>
      <c r="B163" t="s">
        <v>14</v>
      </c>
      <c r="C163" t="s">
        <v>15</v>
      </c>
      <c r="D163" t="s">
        <v>16</v>
      </c>
      <c r="E163" t="s">
        <v>17</v>
      </c>
      <c r="F163" t="s">
        <v>18</v>
      </c>
      <c r="G163" t="s">
        <v>19</v>
      </c>
    </row>
    <row r="164" spans="1:7" x14ac:dyDescent="0.2">
      <c r="A164" t="s">
        <v>52</v>
      </c>
      <c r="B164">
        <v>200</v>
      </c>
      <c r="C164" t="s">
        <v>21</v>
      </c>
      <c r="D164" t="s">
        <v>59</v>
      </c>
      <c r="E164">
        <v>600.01973699999996</v>
      </c>
      <c r="F164">
        <v>209600</v>
      </c>
      <c r="G164">
        <v>4971</v>
      </c>
    </row>
    <row r="165" spans="1:7" x14ac:dyDescent="0.2">
      <c r="A165" t="s">
        <v>52</v>
      </c>
      <c r="B165">
        <v>200</v>
      </c>
      <c r="C165" t="s">
        <v>21</v>
      </c>
      <c r="D165" t="s">
        <v>23</v>
      </c>
      <c r="E165">
        <v>600.01</v>
      </c>
      <c r="F165">
        <v>700</v>
      </c>
    </row>
    <row r="166" spans="1:7" x14ac:dyDescent="0.2">
      <c r="A166" t="s">
        <v>53</v>
      </c>
      <c r="B166">
        <v>6</v>
      </c>
      <c r="C166" t="s">
        <v>21</v>
      </c>
      <c r="D166" t="s">
        <v>1</v>
      </c>
      <c r="E166">
        <v>600.01523999999995</v>
      </c>
      <c r="F166">
        <v>167622</v>
      </c>
      <c r="G166">
        <v>11196</v>
      </c>
    </row>
    <row r="167" spans="1:7" x14ac:dyDescent="0.2">
      <c r="A167" t="s">
        <v>0</v>
      </c>
      <c r="B167" t="s">
        <v>14</v>
      </c>
      <c r="C167" t="s">
        <v>15</v>
      </c>
      <c r="D167" t="s">
        <v>16</v>
      </c>
      <c r="E167" t="s">
        <v>17</v>
      </c>
      <c r="F167" t="s">
        <v>18</v>
      </c>
      <c r="G167" t="s">
        <v>19</v>
      </c>
    </row>
    <row r="168" spans="1:7" x14ac:dyDescent="0.2">
      <c r="A168" t="s">
        <v>53</v>
      </c>
      <c r="B168">
        <v>6</v>
      </c>
      <c r="C168" t="s">
        <v>21</v>
      </c>
      <c r="D168" t="s">
        <v>58</v>
      </c>
      <c r="E168">
        <v>600.04776409999999</v>
      </c>
      <c r="F168">
        <v>217658</v>
      </c>
      <c r="G168">
        <v>9307</v>
      </c>
    </row>
    <row r="169" spans="1:7" x14ac:dyDescent="0.2">
      <c r="A169" t="s">
        <v>0</v>
      </c>
      <c r="B169" t="s">
        <v>14</v>
      </c>
      <c r="C169" t="s">
        <v>15</v>
      </c>
      <c r="D169" t="s">
        <v>16</v>
      </c>
      <c r="E169" t="s">
        <v>17</v>
      </c>
      <c r="F169" t="s">
        <v>18</v>
      </c>
      <c r="G169" t="s">
        <v>19</v>
      </c>
    </row>
    <row r="170" spans="1:7" x14ac:dyDescent="0.2">
      <c r="A170" t="s">
        <v>53</v>
      </c>
      <c r="B170">
        <v>6</v>
      </c>
      <c r="C170" t="s">
        <v>21</v>
      </c>
      <c r="D170" t="s">
        <v>59</v>
      </c>
      <c r="E170">
        <v>600.05432510000003</v>
      </c>
      <c r="F170">
        <v>173204</v>
      </c>
      <c r="G170">
        <v>7609</v>
      </c>
    </row>
    <row r="171" spans="1:7" x14ac:dyDescent="0.2">
      <c r="A171" t="s">
        <v>0</v>
      </c>
      <c r="B171" t="s">
        <v>14</v>
      </c>
      <c r="C171" t="s">
        <v>15</v>
      </c>
      <c r="D171" t="s">
        <v>16</v>
      </c>
      <c r="E171" t="s">
        <v>17</v>
      </c>
    </row>
    <row r="172" spans="1:7" x14ac:dyDescent="0.2">
      <c r="A172" t="s">
        <v>53</v>
      </c>
      <c r="B172">
        <v>6</v>
      </c>
      <c r="C172" t="s">
        <v>22</v>
      </c>
      <c r="D172" t="s">
        <v>23</v>
      </c>
      <c r="E172">
        <v>600.00570800000003</v>
      </c>
      <c r="F172">
        <v>650</v>
      </c>
    </row>
    <row r="173" spans="1:7" x14ac:dyDescent="0.2">
      <c r="A173" t="s">
        <v>0</v>
      </c>
      <c r="B173" t="s">
        <v>14</v>
      </c>
      <c r="C173" t="s">
        <v>15</v>
      </c>
      <c r="D173" t="s">
        <v>16</v>
      </c>
      <c r="E173" t="s">
        <v>17</v>
      </c>
      <c r="F173" t="s">
        <v>18</v>
      </c>
      <c r="G173" t="s">
        <v>19</v>
      </c>
    </row>
    <row r="174" spans="1:7" x14ac:dyDescent="0.2">
      <c r="A174" t="s">
        <v>53</v>
      </c>
      <c r="B174">
        <v>8</v>
      </c>
      <c r="C174" t="s">
        <v>21</v>
      </c>
      <c r="D174" t="s">
        <v>1</v>
      </c>
      <c r="E174">
        <v>600.05053210000005</v>
      </c>
      <c r="F174">
        <v>183231</v>
      </c>
      <c r="G174">
        <v>11144</v>
      </c>
    </row>
    <row r="175" spans="1:7" x14ac:dyDescent="0.2">
      <c r="A175" t="s">
        <v>0</v>
      </c>
      <c r="B175" t="s">
        <v>14</v>
      </c>
      <c r="C175" t="s">
        <v>15</v>
      </c>
      <c r="D175" t="s">
        <v>16</v>
      </c>
      <c r="E175" t="s">
        <v>17</v>
      </c>
      <c r="F175" t="s">
        <v>18</v>
      </c>
      <c r="G175" t="s">
        <v>19</v>
      </c>
    </row>
    <row r="176" spans="1:7" x14ac:dyDescent="0.2">
      <c r="A176" t="s">
        <v>53</v>
      </c>
      <c r="B176">
        <v>8</v>
      </c>
      <c r="C176" t="s">
        <v>21</v>
      </c>
      <c r="D176" t="s">
        <v>58</v>
      </c>
      <c r="E176">
        <v>600.01597500000003</v>
      </c>
      <c r="F176">
        <v>213907</v>
      </c>
      <c r="G176">
        <v>10104</v>
      </c>
    </row>
    <row r="177" spans="1:7" x14ac:dyDescent="0.2">
      <c r="A177" t="s">
        <v>0</v>
      </c>
      <c r="B177" t="s">
        <v>14</v>
      </c>
      <c r="C177" t="s">
        <v>15</v>
      </c>
      <c r="D177" t="s">
        <v>16</v>
      </c>
      <c r="E177" t="s">
        <v>17</v>
      </c>
      <c r="F177" t="s">
        <v>18</v>
      </c>
      <c r="G177" t="s">
        <v>19</v>
      </c>
    </row>
    <row r="178" spans="1:7" x14ac:dyDescent="0.2">
      <c r="A178" t="s">
        <v>53</v>
      </c>
      <c r="B178">
        <v>8</v>
      </c>
      <c r="C178" t="s">
        <v>21</v>
      </c>
      <c r="D178" t="s">
        <v>59</v>
      </c>
      <c r="E178">
        <v>600.030123</v>
      </c>
      <c r="F178">
        <v>103100</v>
      </c>
      <c r="G178">
        <v>5954</v>
      </c>
    </row>
    <row r="179" spans="1:7" x14ac:dyDescent="0.2">
      <c r="A179" t="s">
        <v>0</v>
      </c>
      <c r="B179" t="s">
        <v>14</v>
      </c>
      <c r="C179" t="s">
        <v>15</v>
      </c>
      <c r="D179" t="s">
        <v>16</v>
      </c>
      <c r="E179" t="s">
        <v>17</v>
      </c>
    </row>
    <row r="180" spans="1:7" x14ac:dyDescent="0.2">
      <c r="A180" t="s">
        <v>53</v>
      </c>
      <c r="B180">
        <v>8</v>
      </c>
      <c r="C180" t="s">
        <v>22</v>
      </c>
      <c r="D180" t="s">
        <v>23</v>
      </c>
      <c r="E180">
        <v>600.00877089999994</v>
      </c>
      <c r="F180">
        <v>700</v>
      </c>
    </row>
    <row r="181" spans="1:7" x14ac:dyDescent="0.2">
      <c r="A181" t="s">
        <v>0</v>
      </c>
      <c r="B181" t="s">
        <v>14</v>
      </c>
      <c r="C181" t="s">
        <v>15</v>
      </c>
      <c r="D181" t="s">
        <v>16</v>
      </c>
      <c r="E181" t="s">
        <v>17</v>
      </c>
      <c r="F181" t="s">
        <v>18</v>
      </c>
      <c r="G181" t="s">
        <v>19</v>
      </c>
    </row>
    <row r="182" spans="1:7" x14ac:dyDescent="0.2">
      <c r="A182" t="s">
        <v>53</v>
      </c>
      <c r="B182">
        <v>10</v>
      </c>
      <c r="C182" t="s">
        <v>21</v>
      </c>
      <c r="D182" t="s">
        <v>1</v>
      </c>
      <c r="E182">
        <v>600.01793499999997</v>
      </c>
      <c r="F182">
        <v>182355</v>
      </c>
      <c r="G182">
        <v>10187</v>
      </c>
    </row>
    <row r="183" spans="1:7" x14ac:dyDescent="0.2">
      <c r="A183" t="s">
        <v>0</v>
      </c>
      <c r="B183" t="s">
        <v>14</v>
      </c>
      <c r="C183" t="s">
        <v>15</v>
      </c>
      <c r="D183" t="s">
        <v>16</v>
      </c>
      <c r="E183" t="s">
        <v>17</v>
      </c>
      <c r="F183" t="s">
        <v>18</v>
      </c>
      <c r="G183" t="s">
        <v>19</v>
      </c>
    </row>
    <row r="184" spans="1:7" x14ac:dyDescent="0.2">
      <c r="A184" t="s">
        <v>53</v>
      </c>
      <c r="B184">
        <v>10</v>
      </c>
      <c r="C184" t="s">
        <v>21</v>
      </c>
      <c r="D184" t="s">
        <v>58</v>
      </c>
      <c r="E184">
        <v>600.0266881</v>
      </c>
      <c r="F184">
        <v>115627</v>
      </c>
      <c r="G184">
        <v>9215</v>
      </c>
    </row>
    <row r="185" spans="1:7" x14ac:dyDescent="0.2">
      <c r="A185" t="s">
        <v>54</v>
      </c>
      <c r="B185">
        <v>6</v>
      </c>
      <c r="C185" t="s">
        <v>21</v>
      </c>
      <c r="D185" t="s">
        <v>1</v>
      </c>
      <c r="E185">
        <v>600.02976009999998</v>
      </c>
      <c r="F185">
        <v>126467</v>
      </c>
      <c r="G185">
        <v>11143</v>
      </c>
    </row>
    <row r="186" spans="1:7" x14ac:dyDescent="0.2">
      <c r="A186" t="s">
        <v>0</v>
      </c>
      <c r="B186" t="s">
        <v>14</v>
      </c>
      <c r="C186" t="s">
        <v>15</v>
      </c>
      <c r="D186" t="s">
        <v>16</v>
      </c>
      <c r="E186" t="s">
        <v>17</v>
      </c>
      <c r="F186" t="s">
        <v>18</v>
      </c>
      <c r="G186" t="s">
        <v>19</v>
      </c>
    </row>
    <row r="187" spans="1:7" x14ac:dyDescent="0.2">
      <c r="A187" t="s">
        <v>54</v>
      </c>
      <c r="B187">
        <v>6</v>
      </c>
      <c r="C187" t="s">
        <v>21</v>
      </c>
      <c r="D187" t="s">
        <v>58</v>
      </c>
      <c r="E187">
        <v>600.01736900000003</v>
      </c>
      <c r="F187">
        <v>128447</v>
      </c>
      <c r="G187">
        <v>9437</v>
      </c>
    </row>
    <row r="188" spans="1:7" x14ac:dyDescent="0.2">
      <c r="A188" t="s">
        <v>0</v>
      </c>
      <c r="B188" t="s">
        <v>14</v>
      </c>
      <c r="C188" t="s">
        <v>15</v>
      </c>
      <c r="D188" t="s">
        <v>16</v>
      </c>
      <c r="E188" t="s">
        <v>17</v>
      </c>
      <c r="F188" t="s">
        <v>18</v>
      </c>
      <c r="G188" t="s">
        <v>19</v>
      </c>
    </row>
    <row r="189" spans="1:7" x14ac:dyDescent="0.2">
      <c r="A189" t="s">
        <v>54</v>
      </c>
      <c r="B189">
        <v>6</v>
      </c>
      <c r="C189" t="s">
        <v>21</v>
      </c>
      <c r="D189" t="s">
        <v>59</v>
      </c>
      <c r="E189">
        <v>600.01838799999996</v>
      </c>
      <c r="F189">
        <v>106154</v>
      </c>
      <c r="G189">
        <v>7029</v>
      </c>
    </row>
    <row r="190" spans="1:7" x14ac:dyDescent="0.2">
      <c r="A190" t="s">
        <v>0</v>
      </c>
      <c r="B190" t="s">
        <v>14</v>
      </c>
      <c r="C190" t="s">
        <v>15</v>
      </c>
      <c r="D190" t="s">
        <v>16</v>
      </c>
      <c r="E190" t="s">
        <v>17</v>
      </c>
    </row>
    <row r="191" spans="1:7" x14ac:dyDescent="0.2">
      <c r="A191" t="s">
        <v>54</v>
      </c>
      <c r="B191">
        <v>6</v>
      </c>
      <c r="C191" t="s">
        <v>22</v>
      </c>
      <c r="D191" t="s">
        <v>23</v>
      </c>
      <c r="E191">
        <v>600.00882200000001</v>
      </c>
      <c r="F191">
        <v>600</v>
      </c>
    </row>
    <row r="192" spans="1:7" x14ac:dyDescent="0.2">
      <c r="A192" t="s">
        <v>0</v>
      </c>
      <c r="B192" t="s">
        <v>14</v>
      </c>
      <c r="C192" t="s">
        <v>15</v>
      </c>
      <c r="D192" t="s">
        <v>16</v>
      </c>
      <c r="E192" t="s">
        <v>17</v>
      </c>
      <c r="F192" t="s">
        <v>18</v>
      </c>
      <c r="G192" t="s">
        <v>19</v>
      </c>
    </row>
    <row r="193" spans="1:7" x14ac:dyDescent="0.2">
      <c r="A193" t="s">
        <v>54</v>
      </c>
      <c r="B193">
        <v>8</v>
      </c>
      <c r="C193" t="s">
        <v>21</v>
      </c>
      <c r="D193" t="s">
        <v>1</v>
      </c>
      <c r="E193">
        <v>600.01553109999998</v>
      </c>
      <c r="F193">
        <v>130310</v>
      </c>
      <c r="G193">
        <v>10582</v>
      </c>
    </row>
    <row r="194" spans="1:7" x14ac:dyDescent="0.2">
      <c r="A194" t="s">
        <v>0</v>
      </c>
      <c r="B194" t="s">
        <v>14</v>
      </c>
      <c r="C194" t="s">
        <v>15</v>
      </c>
      <c r="D194" t="s">
        <v>16</v>
      </c>
      <c r="E194" t="s">
        <v>17</v>
      </c>
      <c r="F194" t="s">
        <v>18</v>
      </c>
      <c r="G194" t="s">
        <v>19</v>
      </c>
    </row>
    <row r="195" spans="1:7" x14ac:dyDescent="0.2">
      <c r="A195" t="s">
        <v>54</v>
      </c>
      <c r="B195">
        <v>8</v>
      </c>
      <c r="C195" t="s">
        <v>21</v>
      </c>
      <c r="D195" t="s">
        <v>58</v>
      </c>
      <c r="E195">
        <v>600.02954890000001</v>
      </c>
      <c r="F195">
        <v>135646</v>
      </c>
      <c r="G195">
        <v>8579</v>
      </c>
    </row>
    <row r="196" spans="1:7" x14ac:dyDescent="0.2">
      <c r="A196" t="s">
        <v>0</v>
      </c>
      <c r="B196" t="s">
        <v>14</v>
      </c>
      <c r="C196" t="s">
        <v>15</v>
      </c>
      <c r="D196" t="s">
        <v>16</v>
      </c>
      <c r="E196" t="s">
        <v>17</v>
      </c>
      <c r="F196" t="s">
        <v>18</v>
      </c>
      <c r="G196" t="s">
        <v>19</v>
      </c>
    </row>
    <row r="197" spans="1:7" x14ac:dyDescent="0.2">
      <c r="A197" t="s">
        <v>54</v>
      </c>
      <c r="B197">
        <v>8</v>
      </c>
      <c r="C197" t="s">
        <v>21</v>
      </c>
      <c r="D197" t="s">
        <v>59</v>
      </c>
      <c r="E197">
        <v>600.02718000000004</v>
      </c>
      <c r="F197">
        <v>88598</v>
      </c>
      <c r="G197">
        <v>6653</v>
      </c>
    </row>
    <row r="198" spans="1:7" x14ac:dyDescent="0.2">
      <c r="A198" t="s">
        <v>0</v>
      </c>
      <c r="B198" t="s">
        <v>14</v>
      </c>
      <c r="C198" t="s">
        <v>15</v>
      </c>
      <c r="D198" t="s">
        <v>16</v>
      </c>
      <c r="E198" t="s">
        <v>17</v>
      </c>
    </row>
    <row r="199" spans="1:7" x14ac:dyDescent="0.2">
      <c r="A199" t="s">
        <v>54</v>
      </c>
      <c r="B199">
        <v>8</v>
      </c>
      <c r="C199" t="s">
        <v>22</v>
      </c>
      <c r="D199" t="s">
        <v>23</v>
      </c>
      <c r="E199">
        <v>600.00520610000001</v>
      </c>
      <c r="F199">
        <v>700</v>
      </c>
    </row>
    <row r="200" spans="1:7" x14ac:dyDescent="0.2">
      <c r="A200" t="s">
        <v>0</v>
      </c>
      <c r="B200" t="s">
        <v>14</v>
      </c>
      <c r="C200" t="s">
        <v>15</v>
      </c>
      <c r="D200" t="s">
        <v>16</v>
      </c>
      <c r="E200" t="s">
        <v>17</v>
      </c>
      <c r="F200" t="s">
        <v>18</v>
      </c>
      <c r="G200" t="s">
        <v>19</v>
      </c>
    </row>
    <row r="201" spans="1:7" x14ac:dyDescent="0.2">
      <c r="A201" t="s">
        <v>54</v>
      </c>
      <c r="B201">
        <v>10</v>
      </c>
      <c r="C201" t="s">
        <v>21</v>
      </c>
      <c r="D201" t="s">
        <v>1</v>
      </c>
      <c r="E201">
        <v>600.01911089999999</v>
      </c>
      <c r="F201">
        <v>186530</v>
      </c>
      <c r="G201">
        <v>11157</v>
      </c>
    </row>
    <row r="202" spans="1:7" x14ac:dyDescent="0.2">
      <c r="A202" t="s">
        <v>0</v>
      </c>
      <c r="B202" t="s">
        <v>14</v>
      </c>
      <c r="C202" t="s">
        <v>15</v>
      </c>
      <c r="D202" t="s">
        <v>16</v>
      </c>
      <c r="E202" t="s">
        <v>17</v>
      </c>
      <c r="F202" t="s">
        <v>18</v>
      </c>
      <c r="G202" t="s">
        <v>19</v>
      </c>
    </row>
    <row r="203" spans="1:7" x14ac:dyDescent="0.2">
      <c r="A203" t="s">
        <v>54</v>
      </c>
      <c r="B203">
        <v>10</v>
      </c>
      <c r="C203" t="s">
        <v>21</v>
      </c>
      <c r="D203" t="s">
        <v>58</v>
      </c>
      <c r="E203">
        <v>600.02606109999999</v>
      </c>
      <c r="F203">
        <v>63558</v>
      </c>
      <c r="G203">
        <v>10574</v>
      </c>
    </row>
    <row r="204" spans="1:7" x14ac:dyDescent="0.2">
      <c r="A204" t="s">
        <v>0</v>
      </c>
      <c r="B204" t="s">
        <v>14</v>
      </c>
      <c r="C204" t="s">
        <v>15</v>
      </c>
      <c r="D204" t="s">
        <v>16</v>
      </c>
      <c r="E204" t="s">
        <v>17</v>
      </c>
      <c r="F204" t="s">
        <v>18</v>
      </c>
      <c r="G204" t="s">
        <v>19</v>
      </c>
    </row>
    <row r="205" spans="1:7" x14ac:dyDescent="0.2">
      <c r="A205" t="s">
        <v>54</v>
      </c>
      <c r="B205">
        <v>10</v>
      </c>
      <c r="C205" t="s">
        <v>21</v>
      </c>
      <c r="D205" t="s">
        <v>59</v>
      </c>
      <c r="E205">
        <v>600.0301862</v>
      </c>
      <c r="F205">
        <v>57800</v>
      </c>
      <c r="G205">
        <v>5646</v>
      </c>
    </row>
    <row r="206" spans="1:7" x14ac:dyDescent="0.2">
      <c r="A206" t="s">
        <v>0</v>
      </c>
      <c r="B206" t="s">
        <v>14</v>
      </c>
      <c r="C206" t="s">
        <v>15</v>
      </c>
      <c r="D206" t="s">
        <v>16</v>
      </c>
      <c r="E206" t="s">
        <v>17</v>
      </c>
    </row>
    <row r="207" spans="1:7" x14ac:dyDescent="0.2">
      <c r="A207" t="s">
        <v>54</v>
      </c>
      <c r="B207">
        <v>10</v>
      </c>
      <c r="C207" t="s">
        <v>22</v>
      </c>
      <c r="D207" t="s">
        <v>23</v>
      </c>
      <c r="E207">
        <v>600.00622989999999</v>
      </c>
      <c r="F207">
        <v>600</v>
      </c>
    </row>
    <row r="208" spans="1:7" x14ac:dyDescent="0.2">
      <c r="A208" t="s">
        <v>0</v>
      </c>
      <c r="B208" t="s">
        <v>14</v>
      </c>
      <c r="C208" t="s">
        <v>15</v>
      </c>
      <c r="D208" t="s">
        <v>16</v>
      </c>
      <c r="E208" t="s">
        <v>17</v>
      </c>
      <c r="F208" t="s">
        <v>18</v>
      </c>
      <c r="G208" t="s">
        <v>19</v>
      </c>
    </row>
    <row r="209" spans="1:7" x14ac:dyDescent="0.2">
      <c r="A209" t="s">
        <v>54</v>
      </c>
      <c r="B209">
        <v>12</v>
      </c>
      <c r="C209" t="s">
        <v>21</v>
      </c>
      <c r="D209" t="s">
        <v>1</v>
      </c>
      <c r="E209">
        <v>600.01310899999999</v>
      </c>
      <c r="F209">
        <v>266049</v>
      </c>
      <c r="G209">
        <v>7433</v>
      </c>
    </row>
    <row r="210" spans="1:7" x14ac:dyDescent="0.2">
      <c r="A210" t="s">
        <v>0</v>
      </c>
      <c r="B210" t="s">
        <v>14</v>
      </c>
      <c r="C210" t="s">
        <v>15</v>
      </c>
      <c r="D210" t="s">
        <v>16</v>
      </c>
      <c r="E210" t="s">
        <v>17</v>
      </c>
      <c r="F210" t="s">
        <v>18</v>
      </c>
      <c r="G210" t="s">
        <v>19</v>
      </c>
    </row>
    <row r="211" spans="1:7" x14ac:dyDescent="0.2">
      <c r="A211" t="s">
        <v>54</v>
      </c>
      <c r="B211">
        <v>12</v>
      </c>
      <c r="C211" t="s">
        <v>21</v>
      </c>
      <c r="D211" t="s">
        <v>58</v>
      </c>
      <c r="E211">
        <v>600.04994199999999</v>
      </c>
      <c r="F211">
        <v>60996</v>
      </c>
      <c r="G211">
        <v>10703</v>
      </c>
    </row>
    <row r="212" spans="1:7" x14ac:dyDescent="0.2">
      <c r="A212" t="s">
        <v>0</v>
      </c>
      <c r="B212" t="s">
        <v>14</v>
      </c>
      <c r="C212" t="s">
        <v>15</v>
      </c>
      <c r="D212" t="s">
        <v>16</v>
      </c>
      <c r="E212" t="s">
        <v>17</v>
      </c>
      <c r="F212" t="s">
        <v>18</v>
      </c>
      <c r="G212" t="s">
        <v>19</v>
      </c>
    </row>
    <row r="213" spans="1:7" x14ac:dyDescent="0.2">
      <c r="A213" t="s">
        <v>54</v>
      </c>
      <c r="B213">
        <v>12</v>
      </c>
      <c r="C213" t="s">
        <v>21</v>
      </c>
      <c r="D213" t="s">
        <v>59</v>
      </c>
      <c r="E213">
        <v>600.03599410000004</v>
      </c>
      <c r="F213">
        <v>42554</v>
      </c>
      <c r="G213">
        <v>6381</v>
      </c>
    </row>
    <row r="214" spans="1:7" x14ac:dyDescent="0.2">
      <c r="A214" t="s">
        <v>0</v>
      </c>
      <c r="B214" t="s">
        <v>14</v>
      </c>
      <c r="C214" t="s">
        <v>15</v>
      </c>
      <c r="D214" t="s">
        <v>16</v>
      </c>
      <c r="E214" t="s">
        <v>17</v>
      </c>
    </row>
    <row r="215" spans="1:7" x14ac:dyDescent="0.2">
      <c r="A215" t="s">
        <v>54</v>
      </c>
      <c r="B215">
        <v>12</v>
      </c>
      <c r="C215" t="s">
        <v>22</v>
      </c>
      <c r="D215" t="s">
        <v>23</v>
      </c>
      <c r="E215">
        <v>600.00285199999996</v>
      </c>
      <c r="F215">
        <v>689</v>
      </c>
    </row>
    <row r="216" spans="1:7" x14ac:dyDescent="0.2">
      <c r="A216" t="s">
        <v>0</v>
      </c>
      <c r="B216" t="s">
        <v>14</v>
      </c>
      <c r="C216" t="s">
        <v>15</v>
      </c>
      <c r="D216" t="s">
        <v>16</v>
      </c>
      <c r="E216" t="s">
        <v>17</v>
      </c>
      <c r="F216" t="s">
        <v>18</v>
      </c>
      <c r="G216" t="s">
        <v>19</v>
      </c>
    </row>
    <row r="217" spans="1:7" x14ac:dyDescent="0.2">
      <c r="A217" t="s">
        <v>54</v>
      </c>
      <c r="B217">
        <v>200</v>
      </c>
      <c r="C217" t="s">
        <v>21</v>
      </c>
      <c r="D217" t="s">
        <v>1</v>
      </c>
      <c r="E217">
        <v>600.01088789999994</v>
      </c>
      <c r="F217">
        <v>256078</v>
      </c>
      <c r="G217">
        <v>7535</v>
      </c>
    </row>
    <row r="218" spans="1:7" x14ac:dyDescent="0.2">
      <c r="A218" t="s">
        <v>0</v>
      </c>
      <c r="B218" t="s">
        <v>14</v>
      </c>
      <c r="C218" t="s">
        <v>15</v>
      </c>
      <c r="D218" t="s">
        <v>16</v>
      </c>
      <c r="E218" t="s">
        <v>17</v>
      </c>
      <c r="F218" t="s">
        <v>18</v>
      </c>
      <c r="G218" t="s">
        <v>19</v>
      </c>
    </row>
    <row r="219" spans="1:7" x14ac:dyDescent="0.2">
      <c r="A219" t="s">
        <v>54</v>
      </c>
      <c r="B219">
        <v>200</v>
      </c>
      <c r="C219" t="s">
        <v>21</v>
      </c>
      <c r="D219" t="s">
        <v>58</v>
      </c>
      <c r="E219">
        <v>600.07702089999998</v>
      </c>
      <c r="F219">
        <v>57278</v>
      </c>
      <c r="G219">
        <v>10543</v>
      </c>
    </row>
    <row r="220" spans="1:7" x14ac:dyDescent="0.2">
      <c r="A220" t="s">
        <v>0</v>
      </c>
      <c r="B220" t="s">
        <v>14</v>
      </c>
      <c r="C220" t="s">
        <v>15</v>
      </c>
      <c r="D220" t="s">
        <v>16</v>
      </c>
      <c r="E220" t="s">
        <v>17</v>
      </c>
    </row>
    <row r="221" spans="1:7" x14ac:dyDescent="0.2">
      <c r="A221" t="s">
        <v>54</v>
      </c>
      <c r="B221">
        <v>200</v>
      </c>
      <c r="C221" t="s">
        <v>22</v>
      </c>
      <c r="D221" t="s">
        <v>23</v>
      </c>
      <c r="E221">
        <v>600.00966600000004</v>
      </c>
      <c r="F221">
        <v>800</v>
      </c>
    </row>
    <row r="222" spans="1:7" x14ac:dyDescent="0.2">
      <c r="A222" t="s">
        <v>0</v>
      </c>
      <c r="B222" t="s">
        <v>14</v>
      </c>
      <c r="C222" t="s">
        <v>15</v>
      </c>
      <c r="D222" t="s">
        <v>16</v>
      </c>
      <c r="E222" t="s">
        <v>17</v>
      </c>
      <c r="F222" t="s">
        <v>18</v>
      </c>
      <c r="G222" t="s">
        <v>19</v>
      </c>
    </row>
    <row r="223" spans="1:7" x14ac:dyDescent="0.2">
      <c r="A223" t="s">
        <v>55</v>
      </c>
      <c r="B223">
        <v>6</v>
      </c>
      <c r="C223" t="s">
        <v>21</v>
      </c>
      <c r="D223" t="s">
        <v>1</v>
      </c>
      <c r="E223">
        <v>600.01959799999997</v>
      </c>
      <c r="F223">
        <v>179611</v>
      </c>
      <c r="G223">
        <v>12733</v>
      </c>
    </row>
    <row r="224" spans="1:7" x14ac:dyDescent="0.2">
      <c r="A224" t="s">
        <v>0</v>
      </c>
      <c r="B224" t="s">
        <v>14</v>
      </c>
      <c r="C224" t="s">
        <v>15</v>
      </c>
      <c r="D224" t="s">
        <v>16</v>
      </c>
      <c r="E224" t="s">
        <v>17</v>
      </c>
      <c r="F224" t="s">
        <v>18</v>
      </c>
      <c r="G224" t="s">
        <v>19</v>
      </c>
    </row>
    <row r="225" spans="1:7" x14ac:dyDescent="0.2">
      <c r="A225" t="s">
        <v>55</v>
      </c>
      <c r="B225">
        <v>6</v>
      </c>
      <c r="C225" t="s">
        <v>21</v>
      </c>
      <c r="D225" t="s">
        <v>59</v>
      </c>
      <c r="E225">
        <v>600.01167799999996</v>
      </c>
      <c r="F225">
        <v>155144</v>
      </c>
      <c r="G225">
        <v>7300</v>
      </c>
    </row>
    <row r="226" spans="1:7" x14ac:dyDescent="0.2">
      <c r="A226" t="s">
        <v>55</v>
      </c>
      <c r="B226">
        <v>6</v>
      </c>
      <c r="C226" t="s">
        <v>22</v>
      </c>
      <c r="D226" t="s">
        <v>23</v>
      </c>
      <c r="E226">
        <v>600.01026200000001</v>
      </c>
      <c r="F226">
        <v>600</v>
      </c>
    </row>
    <row r="227" spans="1:7" x14ac:dyDescent="0.2">
      <c r="A227" t="s">
        <v>0</v>
      </c>
      <c r="B227" t="s">
        <v>14</v>
      </c>
      <c r="C227" t="s">
        <v>15</v>
      </c>
      <c r="D227" t="s">
        <v>16</v>
      </c>
      <c r="E227" t="s">
        <v>17</v>
      </c>
      <c r="F227" t="s">
        <v>18</v>
      </c>
      <c r="G227" t="s">
        <v>19</v>
      </c>
    </row>
    <row r="228" spans="1:7" x14ac:dyDescent="0.2">
      <c r="A228" t="s">
        <v>55</v>
      </c>
      <c r="B228">
        <v>8</v>
      </c>
      <c r="C228" t="s">
        <v>21</v>
      </c>
      <c r="D228" t="s">
        <v>1</v>
      </c>
      <c r="E228">
        <v>600.01985409999998</v>
      </c>
      <c r="F228">
        <v>123593</v>
      </c>
      <c r="G228">
        <v>10064</v>
      </c>
    </row>
    <row r="229" spans="1:7" x14ac:dyDescent="0.2">
      <c r="A229" t="s">
        <v>55</v>
      </c>
      <c r="B229">
        <v>8</v>
      </c>
      <c r="C229" t="s">
        <v>21</v>
      </c>
      <c r="D229" t="s">
        <v>58</v>
      </c>
      <c r="E229">
        <v>600.03057790000003</v>
      </c>
      <c r="F229">
        <v>198369</v>
      </c>
      <c r="G229">
        <v>8670</v>
      </c>
    </row>
    <row r="230" spans="1:7" x14ac:dyDescent="0.2">
      <c r="A230" t="s">
        <v>0</v>
      </c>
      <c r="B230" t="s">
        <v>14</v>
      </c>
      <c r="C230" t="s">
        <v>15</v>
      </c>
      <c r="D230" t="s">
        <v>16</v>
      </c>
      <c r="E230" t="s">
        <v>17</v>
      </c>
      <c r="F230" t="s">
        <v>18</v>
      </c>
      <c r="G230" t="s">
        <v>19</v>
      </c>
    </row>
    <row r="231" spans="1:7" x14ac:dyDescent="0.2">
      <c r="A231" t="s">
        <v>55</v>
      </c>
      <c r="B231">
        <v>8</v>
      </c>
      <c r="C231" t="s">
        <v>21</v>
      </c>
      <c r="D231" t="s">
        <v>59</v>
      </c>
      <c r="E231">
        <v>600.01</v>
      </c>
      <c r="F231">
        <v>36768</v>
      </c>
      <c r="G231">
        <v>2414</v>
      </c>
    </row>
    <row r="232" spans="1:7" x14ac:dyDescent="0.2">
      <c r="A232" t="s">
        <v>0</v>
      </c>
      <c r="B232" t="s">
        <v>14</v>
      </c>
      <c r="C232" t="s">
        <v>15</v>
      </c>
      <c r="D232" t="s">
        <v>16</v>
      </c>
      <c r="E232" t="s">
        <v>17</v>
      </c>
    </row>
    <row r="233" spans="1:7" x14ac:dyDescent="0.2">
      <c r="A233" t="s">
        <v>55</v>
      </c>
      <c r="B233">
        <v>8</v>
      </c>
      <c r="C233" t="s">
        <v>22</v>
      </c>
      <c r="D233" t="s">
        <v>23</v>
      </c>
      <c r="E233">
        <v>600.00225620000003</v>
      </c>
      <c r="F233">
        <v>680</v>
      </c>
    </row>
    <row r="234" spans="1:7" x14ac:dyDescent="0.2">
      <c r="A234" t="s">
        <v>47</v>
      </c>
      <c r="B234">
        <v>6</v>
      </c>
      <c r="C234" t="s">
        <v>21</v>
      </c>
      <c r="D234" t="s">
        <v>1</v>
      </c>
      <c r="E234">
        <v>600.03891020000003</v>
      </c>
      <c r="F234">
        <v>243595</v>
      </c>
      <c r="G234">
        <v>10928</v>
      </c>
    </row>
    <row r="235" spans="1:7" x14ac:dyDescent="0.2">
      <c r="A235" t="s">
        <v>0</v>
      </c>
      <c r="B235" t="s">
        <v>14</v>
      </c>
      <c r="C235" t="s">
        <v>15</v>
      </c>
      <c r="D235" t="s">
        <v>16</v>
      </c>
      <c r="E235" t="s">
        <v>17</v>
      </c>
      <c r="F235" t="s">
        <v>18</v>
      </c>
      <c r="G235" t="s">
        <v>19</v>
      </c>
    </row>
    <row r="236" spans="1:7" x14ac:dyDescent="0.2">
      <c r="A236" t="s">
        <v>47</v>
      </c>
      <c r="B236">
        <v>6</v>
      </c>
      <c r="C236" t="s">
        <v>21</v>
      </c>
      <c r="D236" t="s">
        <v>58</v>
      </c>
      <c r="E236">
        <v>239.87642690000001</v>
      </c>
      <c r="F236">
        <v>47183</v>
      </c>
      <c r="G236">
        <v>8305</v>
      </c>
    </row>
    <row r="237" spans="1:7" x14ac:dyDescent="0.2">
      <c r="A237" t="s">
        <v>0</v>
      </c>
      <c r="B237" t="s">
        <v>14</v>
      </c>
      <c r="C237" t="s">
        <v>15</v>
      </c>
      <c r="D237" t="s">
        <v>16</v>
      </c>
      <c r="E237" t="s">
        <v>17</v>
      </c>
      <c r="F237" t="s">
        <v>18</v>
      </c>
      <c r="G237" t="s">
        <v>19</v>
      </c>
    </row>
    <row r="238" spans="1:7" x14ac:dyDescent="0.2">
      <c r="A238" t="s">
        <v>47</v>
      </c>
      <c r="B238">
        <v>6</v>
      </c>
      <c r="C238" t="s">
        <v>21</v>
      </c>
      <c r="D238" t="s">
        <v>59</v>
      </c>
      <c r="E238">
        <v>600.01416300000005</v>
      </c>
      <c r="F238">
        <v>90455</v>
      </c>
      <c r="G238">
        <v>8538</v>
      </c>
    </row>
    <row r="239" spans="1:7" x14ac:dyDescent="0.2">
      <c r="A239" t="s">
        <v>0</v>
      </c>
      <c r="B239" t="s">
        <v>14</v>
      </c>
      <c r="C239" t="s">
        <v>15</v>
      </c>
      <c r="D239" t="s">
        <v>16</v>
      </c>
      <c r="E239" t="s">
        <v>17</v>
      </c>
    </row>
    <row r="240" spans="1:7" x14ac:dyDescent="0.2">
      <c r="A240" t="s">
        <v>47</v>
      </c>
      <c r="B240">
        <v>6</v>
      </c>
      <c r="C240" t="s">
        <v>22</v>
      </c>
      <c r="D240" t="s">
        <v>23</v>
      </c>
      <c r="E240">
        <v>600.00430300000005</v>
      </c>
      <c r="F240">
        <v>500</v>
      </c>
    </row>
    <row r="241" spans="1:7" x14ac:dyDescent="0.2">
      <c r="A241" t="s">
        <v>0</v>
      </c>
      <c r="B241" t="s">
        <v>14</v>
      </c>
      <c r="C241" t="s">
        <v>15</v>
      </c>
      <c r="D241" t="s">
        <v>16</v>
      </c>
      <c r="E241" t="s">
        <v>17</v>
      </c>
      <c r="F241" t="s">
        <v>18</v>
      </c>
      <c r="G241" t="s">
        <v>19</v>
      </c>
    </row>
    <row r="242" spans="1:7" x14ac:dyDescent="0.2">
      <c r="A242" t="s">
        <v>47</v>
      </c>
      <c r="B242">
        <v>8</v>
      </c>
      <c r="C242" t="s">
        <v>21</v>
      </c>
      <c r="D242" t="s">
        <v>1</v>
      </c>
      <c r="E242">
        <v>600.01225780000004</v>
      </c>
      <c r="F242">
        <v>328114</v>
      </c>
      <c r="G242">
        <v>9365</v>
      </c>
    </row>
    <row r="243" spans="1:7" x14ac:dyDescent="0.2">
      <c r="A243" t="s">
        <v>0</v>
      </c>
      <c r="B243" t="s">
        <v>14</v>
      </c>
      <c r="C243" t="s">
        <v>15</v>
      </c>
      <c r="D243" t="s">
        <v>16</v>
      </c>
      <c r="E243" t="s">
        <v>17</v>
      </c>
      <c r="F243" t="s">
        <v>18</v>
      </c>
      <c r="G243" t="s">
        <v>19</v>
      </c>
    </row>
    <row r="244" spans="1:7" x14ac:dyDescent="0.2">
      <c r="A244" t="s">
        <v>47</v>
      </c>
      <c r="B244">
        <v>8</v>
      </c>
      <c r="C244" t="s">
        <v>21</v>
      </c>
      <c r="D244" t="s">
        <v>58</v>
      </c>
      <c r="E244">
        <v>600.02449320000005</v>
      </c>
      <c r="F244">
        <v>234100</v>
      </c>
      <c r="G244">
        <v>8547</v>
      </c>
    </row>
    <row r="245" spans="1:7" x14ac:dyDescent="0.2">
      <c r="A245" t="s">
        <v>0</v>
      </c>
      <c r="B245" t="s">
        <v>14</v>
      </c>
      <c r="C245" t="s">
        <v>15</v>
      </c>
      <c r="D245" t="s">
        <v>16</v>
      </c>
      <c r="E245" t="s">
        <v>17</v>
      </c>
      <c r="F245" t="s">
        <v>18</v>
      </c>
      <c r="G245" t="s">
        <v>19</v>
      </c>
    </row>
    <row r="246" spans="1:7" x14ac:dyDescent="0.2">
      <c r="A246" t="s">
        <v>47</v>
      </c>
      <c r="B246">
        <v>8</v>
      </c>
      <c r="C246" t="s">
        <v>21</v>
      </c>
      <c r="D246" t="s">
        <v>59</v>
      </c>
      <c r="E246">
        <v>600.01711799999998</v>
      </c>
      <c r="F246">
        <v>207800</v>
      </c>
      <c r="G246">
        <v>2011</v>
      </c>
    </row>
    <row r="247" spans="1:7" x14ac:dyDescent="0.2">
      <c r="A247" t="s">
        <v>0</v>
      </c>
      <c r="B247" t="s">
        <v>14</v>
      </c>
      <c r="C247" t="s">
        <v>15</v>
      </c>
      <c r="D247" t="s">
        <v>16</v>
      </c>
      <c r="E247" t="s">
        <v>17</v>
      </c>
    </row>
    <row r="248" spans="1:7" x14ac:dyDescent="0.2">
      <c r="A248" t="s">
        <v>47</v>
      </c>
      <c r="B248">
        <v>8</v>
      </c>
      <c r="C248" t="s">
        <v>22</v>
      </c>
      <c r="D248" t="s">
        <v>23</v>
      </c>
      <c r="E248">
        <v>600.00508809999997</v>
      </c>
      <c r="F248">
        <v>242</v>
      </c>
    </row>
    <row r="249" spans="1:7" x14ac:dyDescent="0.2">
      <c r="A249" t="s">
        <v>0</v>
      </c>
      <c r="B249" t="s">
        <v>14</v>
      </c>
      <c r="C249" t="s">
        <v>15</v>
      </c>
      <c r="D249" t="s">
        <v>16</v>
      </c>
      <c r="E249" t="s">
        <v>17</v>
      </c>
      <c r="F249" t="s">
        <v>18</v>
      </c>
      <c r="G249" t="s">
        <v>19</v>
      </c>
    </row>
    <row r="250" spans="1:7" x14ac:dyDescent="0.2">
      <c r="A250" t="s">
        <v>47</v>
      </c>
      <c r="B250">
        <v>10</v>
      </c>
      <c r="C250" t="s">
        <v>21</v>
      </c>
      <c r="D250" t="s">
        <v>1</v>
      </c>
      <c r="E250">
        <v>600.01313519999997</v>
      </c>
      <c r="F250">
        <v>468412</v>
      </c>
      <c r="G250">
        <v>9134</v>
      </c>
    </row>
    <row r="251" spans="1:7" x14ac:dyDescent="0.2">
      <c r="A251" t="s">
        <v>0</v>
      </c>
      <c r="B251" t="s">
        <v>14</v>
      </c>
      <c r="C251" t="s">
        <v>15</v>
      </c>
      <c r="D251" t="s">
        <v>16</v>
      </c>
      <c r="E251" t="s">
        <v>17</v>
      </c>
      <c r="F251" t="s">
        <v>18</v>
      </c>
      <c r="G251" t="s">
        <v>19</v>
      </c>
    </row>
    <row r="252" spans="1:7" x14ac:dyDescent="0.2">
      <c r="A252" t="s">
        <v>47</v>
      </c>
      <c r="B252">
        <v>10</v>
      </c>
      <c r="C252" t="s">
        <v>21</v>
      </c>
      <c r="D252" t="s">
        <v>58</v>
      </c>
      <c r="E252">
        <v>0.198057175</v>
      </c>
      <c r="F252">
        <v>47</v>
      </c>
      <c r="G252">
        <v>12</v>
      </c>
    </row>
    <row r="253" spans="1:7" x14ac:dyDescent="0.2">
      <c r="A253" t="s">
        <v>0</v>
      </c>
      <c r="B253" t="s">
        <v>14</v>
      </c>
      <c r="C253" t="s">
        <v>15</v>
      </c>
      <c r="D253" t="s">
        <v>16</v>
      </c>
      <c r="E253" t="s">
        <v>17</v>
      </c>
      <c r="F253" t="s">
        <v>18</v>
      </c>
      <c r="G253" t="s">
        <v>19</v>
      </c>
    </row>
    <row r="254" spans="1:7" x14ac:dyDescent="0.2">
      <c r="A254" t="s">
        <v>47</v>
      </c>
      <c r="B254">
        <v>10</v>
      </c>
      <c r="C254" t="s">
        <v>21</v>
      </c>
      <c r="D254" t="s">
        <v>59</v>
      </c>
      <c r="E254">
        <v>5.3150970940000004</v>
      </c>
      <c r="F254">
        <v>28</v>
      </c>
      <c r="G254">
        <v>16</v>
      </c>
    </row>
    <row r="255" spans="1:7" x14ac:dyDescent="0.2">
      <c r="A255" t="s">
        <v>47</v>
      </c>
      <c r="B255">
        <v>10</v>
      </c>
      <c r="C255" t="s">
        <v>22</v>
      </c>
      <c r="D255" t="s">
        <v>23</v>
      </c>
      <c r="E255">
        <v>600.01</v>
      </c>
      <c r="F255">
        <v>700</v>
      </c>
    </row>
    <row r="256" spans="1:7" x14ac:dyDescent="0.2">
      <c r="A256" t="s">
        <v>46</v>
      </c>
      <c r="B256">
        <v>200</v>
      </c>
      <c r="C256" t="s">
        <v>21</v>
      </c>
      <c r="D256" t="s">
        <v>1</v>
      </c>
      <c r="E256">
        <v>600.01961610000001</v>
      </c>
      <c r="F256">
        <v>286584</v>
      </c>
      <c r="G256">
        <v>8236</v>
      </c>
    </row>
    <row r="257" spans="1:7" x14ac:dyDescent="0.2">
      <c r="A257" t="s">
        <v>0</v>
      </c>
      <c r="B257" t="s">
        <v>14</v>
      </c>
      <c r="C257" t="s">
        <v>15</v>
      </c>
      <c r="D257" t="s">
        <v>16</v>
      </c>
      <c r="E257" t="s">
        <v>17</v>
      </c>
      <c r="F257" t="s">
        <v>18</v>
      </c>
      <c r="G257" t="s">
        <v>19</v>
      </c>
    </row>
    <row r="258" spans="1:7" x14ac:dyDescent="0.2">
      <c r="A258" t="s">
        <v>46</v>
      </c>
      <c r="B258">
        <v>200</v>
      </c>
      <c r="C258" t="s">
        <v>21</v>
      </c>
      <c r="D258" t="s">
        <v>58</v>
      </c>
      <c r="E258">
        <v>600.01880719999997</v>
      </c>
      <c r="F258">
        <v>59070</v>
      </c>
      <c r="G258">
        <v>12559</v>
      </c>
    </row>
    <row r="259" spans="1:7" x14ac:dyDescent="0.2">
      <c r="A259" t="s">
        <v>0</v>
      </c>
      <c r="B259" t="s">
        <v>14</v>
      </c>
      <c r="C259" t="s">
        <v>15</v>
      </c>
      <c r="D259" t="s">
        <v>16</v>
      </c>
      <c r="E259" t="s">
        <v>17</v>
      </c>
      <c r="F259" t="s">
        <v>18</v>
      </c>
      <c r="G259" t="s">
        <v>19</v>
      </c>
    </row>
    <row r="260" spans="1:7" x14ac:dyDescent="0.2">
      <c r="A260" t="s">
        <v>46</v>
      </c>
      <c r="B260">
        <v>200</v>
      </c>
      <c r="C260" t="s">
        <v>21</v>
      </c>
      <c r="D260" t="s">
        <v>59</v>
      </c>
      <c r="E260">
        <v>600.0470219</v>
      </c>
      <c r="F260">
        <v>53575</v>
      </c>
      <c r="G260">
        <v>8221</v>
      </c>
    </row>
    <row r="261" spans="1:7" x14ac:dyDescent="0.2">
      <c r="A261" t="s">
        <v>0</v>
      </c>
      <c r="B261" t="s">
        <v>14</v>
      </c>
      <c r="C261" t="s">
        <v>15</v>
      </c>
      <c r="D261" t="s">
        <v>16</v>
      </c>
      <c r="E261" t="s">
        <v>17</v>
      </c>
    </row>
    <row r="262" spans="1:7" x14ac:dyDescent="0.2">
      <c r="A262" t="s">
        <v>46</v>
      </c>
      <c r="B262">
        <v>200</v>
      </c>
      <c r="C262" t="s">
        <v>22</v>
      </c>
      <c r="D262" t="s">
        <v>23</v>
      </c>
      <c r="E262">
        <v>600.00291800000002</v>
      </c>
      <c r="F262">
        <v>800</v>
      </c>
    </row>
    <row r="263" spans="1:7" x14ac:dyDescent="0.2">
      <c r="A263" t="s">
        <v>0</v>
      </c>
      <c r="B263" t="s">
        <v>14</v>
      </c>
      <c r="C263" t="s">
        <v>15</v>
      </c>
      <c r="D263" t="s">
        <v>16</v>
      </c>
      <c r="E263" t="s">
        <v>17</v>
      </c>
      <c r="F263" t="s">
        <v>18</v>
      </c>
      <c r="G263" t="s">
        <v>19</v>
      </c>
    </row>
    <row r="264" spans="1:7" x14ac:dyDescent="0.2">
      <c r="A264" t="s">
        <v>47</v>
      </c>
      <c r="B264">
        <v>200</v>
      </c>
      <c r="C264" t="s">
        <v>21</v>
      </c>
      <c r="D264" t="s">
        <v>1</v>
      </c>
      <c r="E264">
        <v>600.02289510000003</v>
      </c>
      <c r="F264">
        <v>505040</v>
      </c>
      <c r="G264">
        <v>8497</v>
      </c>
    </row>
    <row r="265" spans="1:7" x14ac:dyDescent="0.2">
      <c r="A265" t="s">
        <v>0</v>
      </c>
      <c r="B265" t="s">
        <v>14</v>
      </c>
      <c r="C265" t="s">
        <v>15</v>
      </c>
      <c r="D265" t="s">
        <v>16</v>
      </c>
      <c r="E265" t="s">
        <v>17</v>
      </c>
      <c r="F265" t="s">
        <v>18</v>
      </c>
      <c r="G265" t="s">
        <v>19</v>
      </c>
    </row>
    <row r="266" spans="1:7" x14ac:dyDescent="0.2">
      <c r="A266" t="s">
        <v>47</v>
      </c>
      <c r="B266">
        <v>200</v>
      </c>
      <c r="C266" t="s">
        <v>21</v>
      </c>
      <c r="D266" t="s">
        <v>58</v>
      </c>
      <c r="E266">
        <v>0.20760393099999999</v>
      </c>
      <c r="F266">
        <v>65</v>
      </c>
      <c r="G266">
        <v>12</v>
      </c>
    </row>
    <row r="267" spans="1:7" x14ac:dyDescent="0.2">
      <c r="A267" t="s">
        <v>0</v>
      </c>
      <c r="B267" t="s">
        <v>14</v>
      </c>
      <c r="C267" t="s">
        <v>15</v>
      </c>
      <c r="D267" t="s">
        <v>16</v>
      </c>
      <c r="E267" t="s">
        <v>17</v>
      </c>
      <c r="F267" t="s">
        <v>18</v>
      </c>
      <c r="G267" t="s">
        <v>19</v>
      </c>
    </row>
    <row r="268" spans="1:7" x14ac:dyDescent="0.2">
      <c r="A268" t="s">
        <v>47</v>
      </c>
      <c r="B268">
        <v>200</v>
      </c>
      <c r="C268" t="s">
        <v>21</v>
      </c>
      <c r="D268" t="s">
        <v>59</v>
      </c>
      <c r="E268">
        <v>9.9455080030000005</v>
      </c>
      <c r="F268">
        <v>69</v>
      </c>
      <c r="G268">
        <v>12</v>
      </c>
    </row>
    <row r="269" spans="1:7" x14ac:dyDescent="0.2">
      <c r="A269" t="s">
        <v>0</v>
      </c>
      <c r="B269" t="s">
        <v>14</v>
      </c>
      <c r="C269" t="s">
        <v>15</v>
      </c>
      <c r="D269" t="s">
        <v>16</v>
      </c>
      <c r="E269" t="s">
        <v>17</v>
      </c>
    </row>
    <row r="270" spans="1:7" x14ac:dyDescent="0.2">
      <c r="A270" t="s">
        <v>47</v>
      </c>
      <c r="B270">
        <v>200</v>
      </c>
      <c r="C270" t="s">
        <v>22</v>
      </c>
      <c r="D270" t="s">
        <v>23</v>
      </c>
      <c r="E270">
        <v>600.00874810000005</v>
      </c>
      <c r="F270">
        <v>600</v>
      </c>
    </row>
    <row r="271" spans="1:7" x14ac:dyDescent="0.2">
      <c r="A271" t="s">
        <v>0</v>
      </c>
      <c r="B271" t="s">
        <v>14</v>
      </c>
      <c r="C271" t="s">
        <v>15</v>
      </c>
      <c r="D271" t="s">
        <v>16</v>
      </c>
      <c r="E271" t="s">
        <v>17</v>
      </c>
      <c r="F271" t="s">
        <v>18</v>
      </c>
      <c r="G271" t="s">
        <v>19</v>
      </c>
    </row>
    <row r="272" spans="1:7" x14ac:dyDescent="0.2">
      <c r="A272" t="s">
        <v>48</v>
      </c>
      <c r="B272">
        <v>200</v>
      </c>
      <c r="C272" t="s">
        <v>21</v>
      </c>
      <c r="D272" t="s">
        <v>1</v>
      </c>
      <c r="E272">
        <v>600.01358389999996</v>
      </c>
      <c r="F272">
        <v>334322</v>
      </c>
      <c r="G272">
        <v>8382</v>
      </c>
    </row>
    <row r="273" spans="1:7" x14ac:dyDescent="0.2">
      <c r="A273" t="s">
        <v>0</v>
      </c>
      <c r="B273" t="s">
        <v>14</v>
      </c>
      <c r="C273" t="s">
        <v>15</v>
      </c>
      <c r="D273" t="s">
        <v>16</v>
      </c>
      <c r="E273" t="s">
        <v>17</v>
      </c>
      <c r="F273" t="s">
        <v>18</v>
      </c>
      <c r="G273" t="s">
        <v>19</v>
      </c>
    </row>
    <row r="274" spans="1:7" x14ac:dyDescent="0.2">
      <c r="A274" t="s">
        <v>48</v>
      </c>
      <c r="B274">
        <v>200</v>
      </c>
      <c r="C274" t="s">
        <v>21</v>
      </c>
      <c r="D274" t="s">
        <v>58</v>
      </c>
      <c r="E274">
        <v>21.382578850000002</v>
      </c>
      <c r="F274">
        <v>38934</v>
      </c>
      <c r="G274">
        <v>1192</v>
      </c>
    </row>
    <row r="275" spans="1:7" x14ac:dyDescent="0.2">
      <c r="A275" t="s">
        <v>0</v>
      </c>
      <c r="B275" t="s">
        <v>14</v>
      </c>
      <c r="C275" t="s">
        <v>15</v>
      </c>
      <c r="D275" t="s">
        <v>16</v>
      </c>
      <c r="E275" t="s">
        <v>17</v>
      </c>
      <c r="F275" t="s">
        <v>18</v>
      </c>
      <c r="G275" t="s">
        <v>19</v>
      </c>
    </row>
    <row r="276" spans="1:7" x14ac:dyDescent="0.2">
      <c r="A276" t="s">
        <v>48</v>
      </c>
      <c r="B276">
        <v>200</v>
      </c>
      <c r="C276" t="s">
        <v>21</v>
      </c>
      <c r="D276" t="s">
        <v>59</v>
      </c>
      <c r="E276">
        <v>135.96656419999999</v>
      </c>
      <c r="F276">
        <v>60433</v>
      </c>
      <c r="G276">
        <v>1830</v>
      </c>
    </row>
    <row r="277" spans="1:7" x14ac:dyDescent="0.2">
      <c r="A277" t="s">
        <v>0</v>
      </c>
      <c r="B277" t="s">
        <v>14</v>
      </c>
      <c r="C277" t="s">
        <v>15</v>
      </c>
      <c r="D277" t="s">
        <v>16</v>
      </c>
      <c r="E277" t="s">
        <v>17</v>
      </c>
    </row>
    <row r="278" spans="1:7" x14ac:dyDescent="0.2">
      <c r="A278" t="s">
        <v>48</v>
      </c>
      <c r="B278">
        <v>200</v>
      </c>
      <c r="C278" t="s">
        <v>22</v>
      </c>
      <c r="D278" t="s">
        <v>23</v>
      </c>
      <c r="E278">
        <v>600.00683000000004</v>
      </c>
      <c r="F278">
        <v>600</v>
      </c>
    </row>
    <row r="279" spans="1:7" x14ac:dyDescent="0.2">
      <c r="A279" t="s">
        <v>0</v>
      </c>
      <c r="B279" t="s">
        <v>14</v>
      </c>
      <c r="C279" t="s">
        <v>15</v>
      </c>
      <c r="D279" t="s">
        <v>16</v>
      </c>
      <c r="E279" t="s">
        <v>17</v>
      </c>
      <c r="F279" t="s">
        <v>18</v>
      </c>
      <c r="G279" t="s">
        <v>19</v>
      </c>
    </row>
    <row r="280" spans="1:7" x14ac:dyDescent="0.2">
      <c r="A280" t="s">
        <v>49</v>
      </c>
      <c r="B280">
        <v>200</v>
      </c>
      <c r="C280" t="s">
        <v>21</v>
      </c>
      <c r="D280" t="s">
        <v>1</v>
      </c>
      <c r="E280">
        <v>600.04589799999997</v>
      </c>
      <c r="F280">
        <v>366088</v>
      </c>
      <c r="G280">
        <v>7999</v>
      </c>
    </row>
    <row r="281" spans="1:7" x14ac:dyDescent="0.2">
      <c r="A281" t="s">
        <v>0</v>
      </c>
      <c r="B281" t="s">
        <v>14</v>
      </c>
      <c r="C281" t="s">
        <v>15</v>
      </c>
      <c r="D281" t="s">
        <v>16</v>
      </c>
      <c r="E281" t="s">
        <v>17</v>
      </c>
      <c r="F281" t="s">
        <v>18</v>
      </c>
      <c r="G281" t="s">
        <v>19</v>
      </c>
    </row>
    <row r="282" spans="1:7" x14ac:dyDescent="0.2">
      <c r="A282" t="s">
        <v>49</v>
      </c>
      <c r="B282">
        <v>200</v>
      </c>
      <c r="C282" t="s">
        <v>21</v>
      </c>
      <c r="D282" t="s">
        <v>58</v>
      </c>
      <c r="E282">
        <v>0.37891793299999998</v>
      </c>
      <c r="F282">
        <v>86</v>
      </c>
      <c r="G282">
        <v>22</v>
      </c>
    </row>
    <row r="283" spans="1:7" x14ac:dyDescent="0.2">
      <c r="A283" t="s">
        <v>0</v>
      </c>
      <c r="B283" t="s">
        <v>14</v>
      </c>
      <c r="C283" t="s">
        <v>15</v>
      </c>
      <c r="D283" t="s">
        <v>16</v>
      </c>
      <c r="E283" t="s">
        <v>17</v>
      </c>
      <c r="F283" t="s">
        <v>18</v>
      </c>
      <c r="G283" t="s">
        <v>19</v>
      </c>
    </row>
    <row r="284" spans="1:7" x14ac:dyDescent="0.2">
      <c r="A284" t="s">
        <v>49</v>
      </c>
      <c r="B284">
        <v>200</v>
      </c>
      <c r="C284" t="s">
        <v>21</v>
      </c>
      <c r="D284" t="s">
        <v>59</v>
      </c>
      <c r="E284">
        <v>13.872748850000001</v>
      </c>
      <c r="F284">
        <v>80</v>
      </c>
      <c r="G284">
        <v>22</v>
      </c>
    </row>
    <row r="285" spans="1:7" x14ac:dyDescent="0.2">
      <c r="A285" t="s">
        <v>0</v>
      </c>
      <c r="B285" t="s">
        <v>14</v>
      </c>
      <c r="C285" t="s">
        <v>15</v>
      </c>
      <c r="D285" t="s">
        <v>16</v>
      </c>
      <c r="E285" t="s">
        <v>17</v>
      </c>
    </row>
    <row r="286" spans="1:7" x14ac:dyDescent="0.2">
      <c r="A286" t="s">
        <v>49</v>
      </c>
      <c r="B286">
        <v>200</v>
      </c>
      <c r="C286" t="s">
        <v>22</v>
      </c>
      <c r="D286" t="s">
        <v>23</v>
      </c>
      <c r="E286">
        <v>600.00680109999996</v>
      </c>
      <c r="F286">
        <v>587</v>
      </c>
    </row>
    <row r="287" spans="1:7" x14ac:dyDescent="0.2">
      <c r="A287" t="s">
        <v>0</v>
      </c>
      <c r="B287" t="s">
        <v>14</v>
      </c>
      <c r="C287" t="s">
        <v>15</v>
      </c>
      <c r="D287" t="s">
        <v>16</v>
      </c>
      <c r="E287" t="s">
        <v>17</v>
      </c>
      <c r="F287" t="s">
        <v>18</v>
      </c>
      <c r="G287" t="s">
        <v>19</v>
      </c>
    </row>
    <row r="288" spans="1:7" x14ac:dyDescent="0.2">
      <c r="A288" t="s">
        <v>50</v>
      </c>
      <c r="B288">
        <v>200</v>
      </c>
      <c r="C288" t="s">
        <v>21</v>
      </c>
      <c r="D288" t="s">
        <v>1</v>
      </c>
      <c r="E288">
        <v>600.01145910000002</v>
      </c>
      <c r="F288">
        <v>315445</v>
      </c>
      <c r="G288">
        <v>9270</v>
      </c>
    </row>
    <row r="289" spans="1:7" x14ac:dyDescent="0.2">
      <c r="A289" t="s">
        <v>0</v>
      </c>
      <c r="B289" t="s">
        <v>14</v>
      </c>
      <c r="C289" t="s">
        <v>15</v>
      </c>
      <c r="D289" t="s">
        <v>16</v>
      </c>
      <c r="E289" t="s">
        <v>17</v>
      </c>
      <c r="F289" t="s">
        <v>18</v>
      </c>
      <c r="G289" t="s">
        <v>19</v>
      </c>
    </row>
    <row r="290" spans="1:7" x14ac:dyDescent="0.2">
      <c r="A290" t="s">
        <v>50</v>
      </c>
      <c r="B290">
        <v>200</v>
      </c>
      <c r="C290" t="s">
        <v>21</v>
      </c>
      <c r="D290" t="s">
        <v>58</v>
      </c>
      <c r="E290">
        <v>600.02431799999999</v>
      </c>
      <c r="F290">
        <v>59068</v>
      </c>
      <c r="G290">
        <v>12683</v>
      </c>
    </row>
    <row r="291" spans="1:7" x14ac:dyDescent="0.2">
      <c r="A291" t="s">
        <v>0</v>
      </c>
      <c r="B291" t="s">
        <v>14</v>
      </c>
      <c r="C291" t="s">
        <v>15</v>
      </c>
      <c r="D291" t="s">
        <v>16</v>
      </c>
      <c r="E291" t="s">
        <v>17</v>
      </c>
      <c r="F291" t="s">
        <v>18</v>
      </c>
      <c r="G291" t="s">
        <v>19</v>
      </c>
    </row>
    <row r="292" spans="1:7" x14ac:dyDescent="0.2">
      <c r="A292" t="s">
        <v>50</v>
      </c>
      <c r="B292">
        <v>200</v>
      </c>
      <c r="C292" t="s">
        <v>21</v>
      </c>
      <c r="D292" t="s">
        <v>59</v>
      </c>
      <c r="E292">
        <v>600.01542589999997</v>
      </c>
      <c r="F292">
        <v>86240</v>
      </c>
      <c r="G292">
        <v>7025</v>
      </c>
    </row>
    <row r="293" spans="1:7" x14ac:dyDescent="0.2">
      <c r="A293" t="s">
        <v>0</v>
      </c>
      <c r="B293" t="s">
        <v>14</v>
      </c>
      <c r="C293" t="s">
        <v>15</v>
      </c>
      <c r="D293" t="s">
        <v>16</v>
      </c>
      <c r="E293" t="s">
        <v>17</v>
      </c>
    </row>
    <row r="294" spans="1:7" x14ac:dyDescent="0.2">
      <c r="A294" t="s">
        <v>50</v>
      </c>
      <c r="B294">
        <v>200</v>
      </c>
      <c r="C294" t="s">
        <v>22</v>
      </c>
      <c r="D294" t="s">
        <v>23</v>
      </c>
      <c r="E294">
        <v>600.00359700000001</v>
      </c>
      <c r="F294">
        <v>800</v>
      </c>
    </row>
    <row r="295" spans="1:7" x14ac:dyDescent="0.2">
      <c r="A295" t="s">
        <v>0</v>
      </c>
      <c r="B295" t="s">
        <v>14</v>
      </c>
      <c r="C295" t="s">
        <v>15</v>
      </c>
      <c r="D295" t="s">
        <v>16</v>
      </c>
      <c r="E295" t="s">
        <v>17</v>
      </c>
      <c r="F295" t="s">
        <v>18</v>
      </c>
      <c r="G295" t="s">
        <v>19</v>
      </c>
    </row>
    <row r="296" spans="1:7" x14ac:dyDescent="0.2">
      <c r="A296" t="s">
        <v>51</v>
      </c>
      <c r="B296">
        <v>200</v>
      </c>
      <c r="C296" t="s">
        <v>21</v>
      </c>
      <c r="D296" t="s">
        <v>1</v>
      </c>
      <c r="E296">
        <v>600.01793190000001</v>
      </c>
      <c r="F296">
        <v>338131</v>
      </c>
      <c r="G296">
        <v>9120</v>
      </c>
    </row>
    <row r="297" spans="1:7" x14ac:dyDescent="0.2">
      <c r="A297" t="s">
        <v>0</v>
      </c>
      <c r="B297" t="s">
        <v>14</v>
      </c>
      <c r="C297" t="s">
        <v>15</v>
      </c>
      <c r="D297" t="s">
        <v>16</v>
      </c>
      <c r="E297" t="s">
        <v>17</v>
      </c>
      <c r="F297" t="s">
        <v>18</v>
      </c>
      <c r="G297" t="s">
        <v>19</v>
      </c>
    </row>
    <row r="298" spans="1:7" x14ac:dyDescent="0.2">
      <c r="A298" t="s">
        <v>51</v>
      </c>
      <c r="B298">
        <v>200</v>
      </c>
      <c r="C298" t="s">
        <v>21</v>
      </c>
      <c r="D298" t="s">
        <v>58</v>
      </c>
      <c r="E298">
        <v>600.03958109999996</v>
      </c>
      <c r="F298">
        <v>71794</v>
      </c>
      <c r="G298">
        <v>13847</v>
      </c>
    </row>
    <row r="299" spans="1:7" x14ac:dyDescent="0.2">
      <c r="A299" t="s">
        <v>0</v>
      </c>
      <c r="B299" t="s">
        <v>14</v>
      </c>
      <c r="C299" t="s">
        <v>15</v>
      </c>
      <c r="D299" t="s">
        <v>16</v>
      </c>
      <c r="E299" t="s">
        <v>17</v>
      </c>
      <c r="F299" t="s">
        <v>18</v>
      </c>
      <c r="G299" t="s">
        <v>19</v>
      </c>
    </row>
    <row r="300" spans="1:7" x14ac:dyDescent="0.2">
      <c r="A300" t="s">
        <v>51</v>
      </c>
      <c r="B300">
        <v>200</v>
      </c>
      <c r="C300" t="s">
        <v>21</v>
      </c>
      <c r="D300" t="s">
        <v>59</v>
      </c>
      <c r="E300">
        <v>600.04759100000001</v>
      </c>
      <c r="F300">
        <v>50983</v>
      </c>
      <c r="G300">
        <v>8922</v>
      </c>
    </row>
    <row r="301" spans="1:7" x14ac:dyDescent="0.2">
      <c r="A301" t="s">
        <v>0</v>
      </c>
      <c r="B301" t="s">
        <v>14</v>
      </c>
      <c r="C301" t="s">
        <v>15</v>
      </c>
      <c r="D301" t="s">
        <v>16</v>
      </c>
      <c r="E301" t="s">
        <v>17</v>
      </c>
    </row>
    <row r="302" spans="1:7" x14ac:dyDescent="0.2">
      <c r="A302" t="s">
        <v>51</v>
      </c>
      <c r="B302">
        <v>200</v>
      </c>
      <c r="C302" t="s">
        <v>22</v>
      </c>
      <c r="D302" t="s">
        <v>23</v>
      </c>
      <c r="E302">
        <v>600.01112699999999</v>
      </c>
      <c r="F302">
        <v>800</v>
      </c>
    </row>
    <row r="303" spans="1:7" x14ac:dyDescent="0.2">
      <c r="A303" t="s">
        <v>47</v>
      </c>
      <c r="B303">
        <v>12</v>
      </c>
      <c r="C303" t="s">
        <v>21</v>
      </c>
      <c r="D303" t="s">
        <v>1</v>
      </c>
      <c r="E303">
        <v>600.01282909999998</v>
      </c>
      <c r="F303">
        <v>273342</v>
      </c>
      <c r="G303">
        <v>7406</v>
      </c>
    </row>
    <row r="304" spans="1:7" x14ac:dyDescent="0.2">
      <c r="A304" t="s">
        <v>0</v>
      </c>
      <c r="B304" t="s">
        <v>14</v>
      </c>
      <c r="C304" t="s">
        <v>15</v>
      </c>
      <c r="D304" t="s">
        <v>16</v>
      </c>
      <c r="E304" t="s">
        <v>17</v>
      </c>
      <c r="F304" t="s">
        <v>18</v>
      </c>
      <c r="G304" t="s">
        <v>19</v>
      </c>
    </row>
    <row r="305" spans="1:7" x14ac:dyDescent="0.2">
      <c r="A305" t="s">
        <v>47</v>
      </c>
      <c r="B305">
        <v>12</v>
      </c>
      <c r="C305" t="s">
        <v>21</v>
      </c>
      <c r="D305" t="s">
        <v>58</v>
      </c>
      <c r="E305">
        <v>0.46593403799999999</v>
      </c>
      <c r="F305">
        <v>3</v>
      </c>
      <c r="G305">
        <v>18</v>
      </c>
    </row>
    <row r="306" spans="1:7" x14ac:dyDescent="0.2">
      <c r="A306" t="s">
        <v>0</v>
      </c>
      <c r="B306" t="s">
        <v>14</v>
      </c>
      <c r="C306" t="s">
        <v>15</v>
      </c>
      <c r="D306" t="s">
        <v>16</v>
      </c>
      <c r="E306" t="s">
        <v>17</v>
      </c>
      <c r="F306" t="s">
        <v>18</v>
      </c>
      <c r="G306" t="s">
        <v>19</v>
      </c>
    </row>
    <row r="307" spans="1:7" x14ac:dyDescent="0.2">
      <c r="A307" t="s">
        <v>47</v>
      </c>
      <c r="B307">
        <v>12</v>
      </c>
      <c r="C307" t="s">
        <v>21</v>
      </c>
      <c r="D307" t="s">
        <v>59</v>
      </c>
      <c r="E307">
        <v>1.1200380329999999</v>
      </c>
      <c r="F307">
        <v>3</v>
      </c>
      <c r="G307">
        <v>18</v>
      </c>
    </row>
    <row r="308" spans="1:7" x14ac:dyDescent="0.2">
      <c r="A308" t="s">
        <v>47</v>
      </c>
      <c r="B308">
        <v>12</v>
      </c>
      <c r="C308" t="s">
        <v>22</v>
      </c>
      <c r="D308" t="s">
        <v>23</v>
      </c>
      <c r="E308">
        <v>600.01</v>
      </c>
      <c r="F308">
        <v>700</v>
      </c>
    </row>
    <row r="309" spans="1:7" x14ac:dyDescent="0.2">
      <c r="A309" t="s">
        <v>49</v>
      </c>
      <c r="B309">
        <v>12</v>
      </c>
      <c r="C309" t="s">
        <v>21</v>
      </c>
      <c r="D309" t="s">
        <v>1</v>
      </c>
      <c r="E309">
        <v>600.02705809999998</v>
      </c>
      <c r="F309">
        <v>303650</v>
      </c>
      <c r="G309">
        <v>6790</v>
      </c>
    </row>
    <row r="310" spans="1:7" x14ac:dyDescent="0.2">
      <c r="A310" t="s">
        <v>0</v>
      </c>
      <c r="B310" t="s">
        <v>14</v>
      </c>
      <c r="C310" t="s">
        <v>15</v>
      </c>
      <c r="D310" t="s">
        <v>16</v>
      </c>
      <c r="E310" t="s">
        <v>17</v>
      </c>
      <c r="F310" t="s">
        <v>18</v>
      </c>
      <c r="G310" t="s">
        <v>19</v>
      </c>
    </row>
    <row r="311" spans="1:7" x14ac:dyDescent="0.2">
      <c r="A311" t="s">
        <v>53</v>
      </c>
      <c r="B311">
        <v>200</v>
      </c>
      <c r="C311" t="s">
        <v>21</v>
      </c>
      <c r="D311" t="s">
        <v>1</v>
      </c>
      <c r="E311">
        <v>600.01078510000002</v>
      </c>
      <c r="F311">
        <v>241607</v>
      </c>
      <c r="G311">
        <v>6751</v>
      </c>
    </row>
    <row r="312" spans="1:7" x14ac:dyDescent="0.2">
      <c r="A312" t="s">
        <v>53</v>
      </c>
      <c r="B312">
        <v>200</v>
      </c>
      <c r="C312" t="s">
        <v>21</v>
      </c>
      <c r="D312" t="s">
        <v>58</v>
      </c>
      <c r="E312">
        <v>600.03430289999994</v>
      </c>
      <c r="F312">
        <v>56076</v>
      </c>
      <c r="G312">
        <v>11822</v>
      </c>
    </row>
    <row r="313" spans="1:7" x14ac:dyDescent="0.2">
      <c r="A313" t="s">
        <v>0</v>
      </c>
      <c r="B313" t="s">
        <v>14</v>
      </c>
      <c r="C313" t="s">
        <v>15</v>
      </c>
      <c r="D313" t="s">
        <v>16</v>
      </c>
      <c r="E313" t="s">
        <v>17</v>
      </c>
    </row>
    <row r="314" spans="1:7" x14ac:dyDescent="0.2">
      <c r="A314" t="s">
        <v>48</v>
      </c>
      <c r="B314">
        <v>12</v>
      </c>
      <c r="C314" t="s">
        <v>22</v>
      </c>
      <c r="D314" t="s">
        <v>23</v>
      </c>
      <c r="E314">
        <v>600.00286319999998</v>
      </c>
      <c r="F314">
        <v>346</v>
      </c>
    </row>
    <row r="315" spans="1:7" x14ac:dyDescent="0.2">
      <c r="A315" t="s">
        <v>0</v>
      </c>
      <c r="B315" t="s">
        <v>14</v>
      </c>
      <c r="C315" t="s">
        <v>15</v>
      </c>
      <c r="D315" t="s">
        <v>16</v>
      </c>
      <c r="E315" t="s">
        <v>17</v>
      </c>
      <c r="F315" t="s">
        <v>18</v>
      </c>
      <c r="G315" t="s">
        <v>19</v>
      </c>
    </row>
    <row r="316" spans="1:7" x14ac:dyDescent="0.2">
      <c r="A316" t="s">
        <v>53</v>
      </c>
      <c r="B316">
        <v>200</v>
      </c>
      <c r="C316" t="s">
        <v>21</v>
      </c>
      <c r="D316" t="s">
        <v>59</v>
      </c>
      <c r="E316">
        <v>600.03135899999995</v>
      </c>
      <c r="F316">
        <v>50585</v>
      </c>
      <c r="G316">
        <v>7702</v>
      </c>
    </row>
    <row r="317" spans="1:7" x14ac:dyDescent="0.2">
      <c r="A317" t="s">
        <v>53</v>
      </c>
      <c r="B317">
        <v>200</v>
      </c>
      <c r="C317" t="s">
        <v>22</v>
      </c>
      <c r="D317" t="s">
        <v>23</v>
      </c>
      <c r="E317">
        <v>600.00488189999999</v>
      </c>
      <c r="F317">
        <v>471</v>
      </c>
    </row>
    <row r="318" spans="1:7" x14ac:dyDescent="0.2">
      <c r="A318" t="s">
        <v>55</v>
      </c>
      <c r="B318">
        <v>10</v>
      </c>
      <c r="C318" t="s">
        <v>21</v>
      </c>
      <c r="D318" t="s">
        <v>1</v>
      </c>
      <c r="E318">
        <v>600.06875991821198</v>
      </c>
      <c r="F318">
        <v>164800</v>
      </c>
      <c r="G318">
        <v>8273</v>
      </c>
    </row>
    <row r="319" spans="1:7" x14ac:dyDescent="0.2">
      <c r="A319" t="s">
        <v>0</v>
      </c>
      <c r="B319" t="s">
        <v>14</v>
      </c>
      <c r="C319" t="s">
        <v>15</v>
      </c>
      <c r="D319" t="s">
        <v>16</v>
      </c>
      <c r="E319" t="s">
        <v>17</v>
      </c>
      <c r="F319" t="s">
        <v>18</v>
      </c>
      <c r="G319" t="s">
        <v>19</v>
      </c>
    </row>
    <row r="320" spans="1:7" x14ac:dyDescent="0.2">
      <c r="A320" t="s">
        <v>52</v>
      </c>
      <c r="B320">
        <v>6</v>
      </c>
      <c r="C320" t="s">
        <v>21</v>
      </c>
      <c r="D320" t="s">
        <v>1</v>
      </c>
      <c r="E320">
        <v>600.03277111053399</v>
      </c>
      <c r="F320">
        <v>105985</v>
      </c>
      <c r="G320">
        <v>8527</v>
      </c>
    </row>
    <row r="321" spans="1:7" x14ac:dyDescent="0.2">
      <c r="A321" t="s">
        <v>0</v>
      </c>
      <c r="B321" t="s">
        <v>14</v>
      </c>
      <c r="C321" t="s">
        <v>15</v>
      </c>
      <c r="D321" t="s">
        <v>16</v>
      </c>
      <c r="E321" t="s">
        <v>17</v>
      </c>
      <c r="F321" t="s">
        <v>18</v>
      </c>
      <c r="G321" t="s">
        <v>19</v>
      </c>
    </row>
    <row r="322" spans="1:7" x14ac:dyDescent="0.2">
      <c r="A322" t="s">
        <v>55</v>
      </c>
      <c r="B322">
        <v>200</v>
      </c>
      <c r="C322" t="s">
        <v>21</v>
      </c>
      <c r="D322" t="s">
        <v>1</v>
      </c>
      <c r="E322">
        <v>600.01078701019196</v>
      </c>
      <c r="F322">
        <v>193660</v>
      </c>
      <c r="G322">
        <v>5523</v>
      </c>
    </row>
    <row r="323" spans="1:7" x14ac:dyDescent="0.2">
      <c r="A323" t="s">
        <v>0</v>
      </c>
      <c r="B323" t="s">
        <v>14</v>
      </c>
      <c r="C323" t="s">
        <v>15</v>
      </c>
      <c r="D323" t="s">
        <v>16</v>
      </c>
      <c r="E323" t="s">
        <v>17</v>
      </c>
      <c r="F323" t="s">
        <v>18</v>
      </c>
      <c r="G323" t="s">
        <v>19</v>
      </c>
    </row>
    <row r="324" spans="1:7" x14ac:dyDescent="0.2">
      <c r="A324" t="s">
        <v>55</v>
      </c>
      <c r="B324">
        <v>10</v>
      </c>
      <c r="C324" t="s">
        <v>21</v>
      </c>
      <c r="D324" t="s">
        <v>58</v>
      </c>
      <c r="E324">
        <v>600.09381699562005</v>
      </c>
      <c r="F324">
        <v>46100</v>
      </c>
      <c r="G324">
        <v>9375</v>
      </c>
    </row>
    <row r="325" spans="1:7" x14ac:dyDescent="0.2">
      <c r="A325" t="s">
        <v>0</v>
      </c>
      <c r="B325" t="s">
        <v>14</v>
      </c>
      <c r="C325" t="s">
        <v>15</v>
      </c>
      <c r="D325" t="s">
        <v>16</v>
      </c>
      <c r="E325" t="s">
        <v>17</v>
      </c>
      <c r="F325" t="s">
        <v>18</v>
      </c>
      <c r="G325" t="s">
        <v>19</v>
      </c>
    </row>
    <row r="326" spans="1:7" x14ac:dyDescent="0.2">
      <c r="A326" t="s">
        <v>55</v>
      </c>
      <c r="B326">
        <v>200</v>
      </c>
      <c r="C326" t="s">
        <v>21</v>
      </c>
      <c r="D326" t="s">
        <v>58</v>
      </c>
      <c r="E326">
        <v>600.02326703071503</v>
      </c>
      <c r="F326">
        <v>40770</v>
      </c>
      <c r="G326">
        <v>8887</v>
      </c>
    </row>
    <row r="327" spans="1:7" x14ac:dyDescent="0.2">
      <c r="A327" t="s">
        <v>0</v>
      </c>
      <c r="B327" t="s">
        <v>14</v>
      </c>
      <c r="C327" t="s">
        <v>15</v>
      </c>
      <c r="D327" t="s">
        <v>16</v>
      </c>
      <c r="E327" t="s">
        <v>17</v>
      </c>
      <c r="F327" t="s">
        <v>18</v>
      </c>
      <c r="G327" t="s">
        <v>19</v>
      </c>
    </row>
    <row r="328" spans="1:7" x14ac:dyDescent="0.2">
      <c r="A328" t="s">
        <v>55</v>
      </c>
      <c r="B328">
        <v>10</v>
      </c>
      <c r="C328" t="s">
        <v>21</v>
      </c>
      <c r="D328" t="s">
        <v>59</v>
      </c>
      <c r="E328">
        <v>600.07197904586701</v>
      </c>
      <c r="F328">
        <v>29000</v>
      </c>
      <c r="G328">
        <v>4824</v>
      </c>
    </row>
    <row r="329" spans="1:7" x14ac:dyDescent="0.2">
      <c r="A329" t="s">
        <v>0</v>
      </c>
      <c r="B329" t="s">
        <v>14</v>
      </c>
      <c r="C329" t="s">
        <v>15</v>
      </c>
      <c r="D329" t="s">
        <v>16</v>
      </c>
      <c r="E329" t="s">
        <v>17</v>
      </c>
      <c r="F329" t="s">
        <v>18</v>
      </c>
      <c r="G329" t="s">
        <v>19</v>
      </c>
    </row>
    <row r="330" spans="1:7" x14ac:dyDescent="0.2">
      <c r="A330" t="s">
        <v>53</v>
      </c>
      <c r="B330">
        <v>10</v>
      </c>
      <c r="C330" t="s">
        <v>21</v>
      </c>
      <c r="D330" t="s">
        <v>59</v>
      </c>
      <c r="E330">
        <v>600.05863404273896</v>
      </c>
      <c r="F330">
        <v>35700</v>
      </c>
      <c r="G330">
        <v>4307</v>
      </c>
    </row>
    <row r="331" spans="1:7" x14ac:dyDescent="0.2">
      <c r="A331" t="s">
        <v>0</v>
      </c>
      <c r="B331" t="s">
        <v>14</v>
      </c>
      <c r="C331" t="s">
        <v>15</v>
      </c>
      <c r="D331" t="s">
        <v>16</v>
      </c>
      <c r="E331" t="s">
        <v>17</v>
      </c>
      <c r="F331" t="s">
        <v>18</v>
      </c>
      <c r="G331" t="s">
        <v>19</v>
      </c>
    </row>
    <row r="332" spans="1:7" x14ac:dyDescent="0.2">
      <c r="A332" t="s">
        <v>55</v>
      </c>
      <c r="B332">
        <v>200</v>
      </c>
      <c r="C332" t="s">
        <v>21</v>
      </c>
      <c r="D332" t="s">
        <v>59</v>
      </c>
      <c r="E332">
        <v>600.03399991989102</v>
      </c>
      <c r="F332">
        <v>34304</v>
      </c>
      <c r="G332">
        <v>6096</v>
      </c>
    </row>
    <row r="333" spans="1:7" x14ac:dyDescent="0.2">
      <c r="A333" t="s">
        <v>0</v>
      </c>
      <c r="B333" t="s">
        <v>14</v>
      </c>
      <c r="C333" t="s">
        <v>15</v>
      </c>
      <c r="D333" t="s">
        <v>16</v>
      </c>
      <c r="E333" t="s">
        <v>17</v>
      </c>
      <c r="F333" t="s">
        <v>18</v>
      </c>
      <c r="G333" t="s">
        <v>19</v>
      </c>
    </row>
    <row r="334" spans="1:7" x14ac:dyDescent="0.2">
      <c r="A334" t="s">
        <v>49</v>
      </c>
      <c r="B334">
        <v>12</v>
      </c>
      <c r="C334" t="s">
        <v>21</v>
      </c>
      <c r="D334" t="s">
        <v>58</v>
      </c>
      <c r="E334">
        <v>0.902191162109375</v>
      </c>
      <c r="F334">
        <v>228</v>
      </c>
      <c r="G334">
        <v>16</v>
      </c>
    </row>
    <row r="335" spans="1:7" x14ac:dyDescent="0.2">
      <c r="A335" t="s">
        <v>0</v>
      </c>
      <c r="B335" t="s">
        <v>14</v>
      </c>
      <c r="C335" t="s">
        <v>15</v>
      </c>
      <c r="D335" t="s">
        <v>16</v>
      </c>
      <c r="E335" t="s">
        <v>17</v>
      </c>
      <c r="F335" t="s">
        <v>18</v>
      </c>
      <c r="G335" t="s">
        <v>19</v>
      </c>
    </row>
    <row r="336" spans="1:7" x14ac:dyDescent="0.2">
      <c r="A336" t="s">
        <v>49</v>
      </c>
      <c r="B336">
        <v>12</v>
      </c>
      <c r="C336" t="s">
        <v>21</v>
      </c>
      <c r="D336" t="s">
        <v>59</v>
      </c>
      <c r="E336">
        <v>51.312223196029599</v>
      </c>
      <c r="F336">
        <v>216</v>
      </c>
      <c r="G336">
        <v>16</v>
      </c>
    </row>
    <row r="337" spans="1:7" x14ac:dyDescent="0.2">
      <c r="A337" t="s">
        <v>0</v>
      </c>
      <c r="B337" t="s">
        <v>14</v>
      </c>
      <c r="C337" t="s">
        <v>15</v>
      </c>
      <c r="D337" t="s">
        <v>16</v>
      </c>
      <c r="E337" t="s">
        <v>17</v>
      </c>
    </row>
    <row r="338" spans="1:7" x14ac:dyDescent="0.2">
      <c r="A338" t="s">
        <v>55</v>
      </c>
      <c r="B338">
        <v>10</v>
      </c>
      <c r="C338" t="s">
        <v>22</v>
      </c>
      <c r="D338" t="s">
        <v>23</v>
      </c>
      <c r="E338">
        <v>600.00233006477299</v>
      </c>
      <c r="F338">
        <v>393</v>
      </c>
    </row>
    <row r="339" spans="1:7" x14ac:dyDescent="0.2">
      <c r="A339" t="s">
        <v>0</v>
      </c>
      <c r="B339" t="s">
        <v>14</v>
      </c>
      <c r="C339" t="s">
        <v>15</v>
      </c>
      <c r="D339" t="s">
        <v>16</v>
      </c>
      <c r="E339" t="s">
        <v>17</v>
      </c>
    </row>
    <row r="340" spans="1:7" x14ac:dyDescent="0.2">
      <c r="A340" t="s">
        <v>55</v>
      </c>
      <c r="B340">
        <v>200</v>
      </c>
      <c r="C340" t="s">
        <v>22</v>
      </c>
      <c r="D340" t="s">
        <v>23</v>
      </c>
      <c r="E340">
        <v>600.01096606254498</v>
      </c>
      <c r="F340">
        <v>432</v>
      </c>
    </row>
    <row r="341" spans="1:7" x14ac:dyDescent="0.2">
      <c r="A341" t="s">
        <v>0</v>
      </c>
      <c r="B341" t="s">
        <v>14</v>
      </c>
      <c r="C341" t="s">
        <v>15</v>
      </c>
      <c r="D341" t="s">
        <v>16</v>
      </c>
      <c r="E341" t="s">
        <v>17</v>
      </c>
    </row>
    <row r="342" spans="1:7" x14ac:dyDescent="0.2">
      <c r="A342" t="s">
        <v>49</v>
      </c>
      <c r="B342">
        <v>12</v>
      </c>
      <c r="C342" t="s">
        <v>22</v>
      </c>
      <c r="D342" t="s">
        <v>23</v>
      </c>
      <c r="E342">
        <v>600.00887298583905</v>
      </c>
      <c r="F342">
        <v>294</v>
      </c>
    </row>
    <row r="343" spans="1:7" x14ac:dyDescent="0.2">
      <c r="A343" t="s">
        <v>0</v>
      </c>
      <c r="B343" t="s">
        <v>14</v>
      </c>
      <c r="C343" t="s">
        <v>15</v>
      </c>
      <c r="D343" t="s">
        <v>16</v>
      </c>
      <c r="E343" t="s">
        <v>17</v>
      </c>
      <c r="F343" t="s">
        <v>18</v>
      </c>
      <c r="G343" t="s">
        <v>19</v>
      </c>
    </row>
    <row r="344" spans="1:7" x14ac:dyDescent="0.2">
      <c r="A344" t="s">
        <v>55</v>
      </c>
      <c r="B344">
        <v>6</v>
      </c>
      <c r="C344" t="s">
        <v>21</v>
      </c>
      <c r="D344" t="s">
        <v>58</v>
      </c>
      <c r="E344">
        <v>600.02170586585999</v>
      </c>
      <c r="F344">
        <v>245918</v>
      </c>
      <c r="G344">
        <v>7980</v>
      </c>
    </row>
    <row r="345" spans="1:7" s="9" customFormat="1" x14ac:dyDescent="0.2">
      <c r="A345" t="s">
        <v>0</v>
      </c>
      <c r="B345" t="s">
        <v>14</v>
      </c>
      <c r="C345" t="s">
        <v>15</v>
      </c>
      <c r="D345" t="s">
        <v>16</v>
      </c>
      <c r="E345" t="s">
        <v>17</v>
      </c>
      <c r="F345" t="s">
        <v>18</v>
      </c>
      <c r="G345" t="s">
        <v>19</v>
      </c>
    </row>
    <row r="346" spans="1:7" s="9" customFormat="1" x14ac:dyDescent="0.2">
      <c r="A346" t="s">
        <v>54</v>
      </c>
      <c r="B346">
        <v>200</v>
      </c>
      <c r="C346" t="s">
        <v>21</v>
      </c>
      <c r="D346" t="s">
        <v>59</v>
      </c>
      <c r="E346">
        <v>600.01568293571404</v>
      </c>
      <c r="F346">
        <v>38557</v>
      </c>
      <c r="G346">
        <v>6376</v>
      </c>
    </row>
    <row r="347" spans="1:7" x14ac:dyDescent="0.2">
      <c r="A347" t="s">
        <v>0</v>
      </c>
      <c r="B347" t="s">
        <v>14</v>
      </c>
      <c r="C347" t="s">
        <v>15</v>
      </c>
      <c r="D347" t="s">
        <v>16</v>
      </c>
      <c r="E347" t="s">
        <v>17</v>
      </c>
      <c r="F347" t="s">
        <v>18</v>
      </c>
      <c r="G347" t="s">
        <v>19</v>
      </c>
    </row>
    <row r="348" spans="1:7" x14ac:dyDescent="0.2">
      <c r="A348" t="s">
        <v>55</v>
      </c>
      <c r="B348">
        <v>12</v>
      </c>
      <c r="C348" t="s">
        <v>21</v>
      </c>
      <c r="D348" t="s">
        <v>1</v>
      </c>
      <c r="E348">
        <v>600.008455991745</v>
      </c>
      <c r="F348">
        <v>193311</v>
      </c>
      <c r="G348">
        <v>5776</v>
      </c>
    </row>
    <row r="349" spans="1:7" x14ac:dyDescent="0.2">
      <c r="A349" t="s">
        <v>0</v>
      </c>
      <c r="B349" t="s">
        <v>14</v>
      </c>
      <c r="C349" t="s">
        <v>15</v>
      </c>
      <c r="D349" t="s">
        <v>16</v>
      </c>
      <c r="E349" t="s">
        <v>17</v>
      </c>
    </row>
    <row r="350" spans="1:7" x14ac:dyDescent="0.2">
      <c r="A350" t="s">
        <v>49</v>
      </c>
      <c r="B350">
        <v>10</v>
      </c>
      <c r="C350" t="s">
        <v>22</v>
      </c>
      <c r="D350" t="s">
        <v>23</v>
      </c>
      <c r="E350">
        <v>600.01833105087201</v>
      </c>
      <c r="F350">
        <v>200</v>
      </c>
    </row>
    <row r="351" spans="1:7" x14ac:dyDescent="0.2">
      <c r="A351" t="s">
        <v>0</v>
      </c>
      <c r="B351" t="s">
        <v>14</v>
      </c>
      <c r="C351" t="s">
        <v>15</v>
      </c>
      <c r="D351" t="s">
        <v>16</v>
      </c>
      <c r="E351" t="s">
        <v>17</v>
      </c>
      <c r="F351" t="s">
        <v>18</v>
      </c>
      <c r="G351" t="s">
        <v>19</v>
      </c>
    </row>
    <row r="352" spans="1:7" x14ac:dyDescent="0.2">
      <c r="A352" t="s">
        <v>55</v>
      </c>
      <c r="B352">
        <v>12</v>
      </c>
      <c r="C352" t="s">
        <v>21</v>
      </c>
      <c r="D352" t="s">
        <v>58</v>
      </c>
      <c r="E352">
        <v>600.04142093658402</v>
      </c>
      <c r="F352">
        <v>52819</v>
      </c>
      <c r="G352">
        <v>9616</v>
      </c>
    </row>
    <row r="353" spans="1:7" x14ac:dyDescent="0.2">
      <c r="A353" t="s">
        <v>0</v>
      </c>
      <c r="B353" t="s">
        <v>14</v>
      </c>
      <c r="C353" t="s">
        <v>15</v>
      </c>
      <c r="D353" t="s">
        <v>16</v>
      </c>
      <c r="E353" t="s">
        <v>17</v>
      </c>
      <c r="F353" t="s">
        <v>18</v>
      </c>
      <c r="G353" t="s">
        <v>19</v>
      </c>
    </row>
    <row r="354" spans="1:7" x14ac:dyDescent="0.2">
      <c r="A354" t="s">
        <v>50</v>
      </c>
      <c r="B354">
        <v>12</v>
      </c>
      <c r="C354" t="s">
        <v>21</v>
      </c>
      <c r="D354" t="s">
        <v>1</v>
      </c>
      <c r="E354">
        <v>600.01227307319596</v>
      </c>
      <c r="F354">
        <v>203517</v>
      </c>
      <c r="G354">
        <v>5519</v>
      </c>
    </row>
    <row r="355" spans="1:7" x14ac:dyDescent="0.2">
      <c r="A355" t="s">
        <v>0</v>
      </c>
      <c r="B355" t="s">
        <v>14</v>
      </c>
      <c r="C355" t="s">
        <v>15</v>
      </c>
      <c r="D355" t="s">
        <v>16</v>
      </c>
      <c r="E355" t="s">
        <v>17</v>
      </c>
      <c r="F355" t="s">
        <v>18</v>
      </c>
      <c r="G355" t="s">
        <v>19</v>
      </c>
    </row>
    <row r="356" spans="1:7" x14ac:dyDescent="0.2">
      <c r="A356" t="s">
        <v>53</v>
      </c>
      <c r="B356">
        <v>12</v>
      </c>
      <c r="C356" t="s">
        <v>21</v>
      </c>
      <c r="D356" t="s">
        <v>1</v>
      </c>
      <c r="E356">
        <v>600.02152800559998</v>
      </c>
      <c r="F356">
        <v>216996</v>
      </c>
      <c r="G356">
        <v>6149</v>
      </c>
    </row>
    <row r="357" spans="1:7" x14ac:dyDescent="0.2">
      <c r="A357" t="s">
        <v>0</v>
      </c>
      <c r="B357" t="s">
        <v>14</v>
      </c>
      <c r="C357" t="s">
        <v>15</v>
      </c>
      <c r="D357" t="s">
        <v>16</v>
      </c>
      <c r="E357" t="s">
        <v>17</v>
      </c>
      <c r="F357" t="s">
        <v>18</v>
      </c>
      <c r="G357" t="s">
        <v>19</v>
      </c>
    </row>
    <row r="358" spans="1:7" x14ac:dyDescent="0.2">
      <c r="A358" t="s">
        <v>55</v>
      </c>
      <c r="B358">
        <v>12</v>
      </c>
      <c r="C358" t="s">
        <v>21</v>
      </c>
      <c r="D358" t="s">
        <v>59</v>
      </c>
      <c r="E358">
        <v>600.02887010574295</v>
      </c>
      <c r="F358">
        <v>37900</v>
      </c>
      <c r="G358">
        <v>5834</v>
      </c>
    </row>
    <row r="359" spans="1:7" x14ac:dyDescent="0.2">
      <c r="A359" t="s">
        <v>0</v>
      </c>
      <c r="B359" t="s">
        <v>14</v>
      </c>
      <c r="C359" t="s">
        <v>15</v>
      </c>
      <c r="D359" t="s">
        <v>16</v>
      </c>
      <c r="E359" t="s">
        <v>17</v>
      </c>
      <c r="F359" t="s">
        <v>18</v>
      </c>
      <c r="G359" t="s">
        <v>19</v>
      </c>
    </row>
    <row r="360" spans="1:7" x14ac:dyDescent="0.2">
      <c r="A360" t="s">
        <v>50</v>
      </c>
      <c r="B360">
        <v>12</v>
      </c>
      <c r="C360" t="s">
        <v>21</v>
      </c>
      <c r="D360" t="s">
        <v>58</v>
      </c>
      <c r="E360">
        <v>600.05708599090497</v>
      </c>
      <c r="F360">
        <v>53733</v>
      </c>
      <c r="G360">
        <v>9813</v>
      </c>
    </row>
    <row r="361" spans="1:7" x14ac:dyDescent="0.2">
      <c r="A361" t="s">
        <v>0</v>
      </c>
      <c r="B361" t="s">
        <v>14</v>
      </c>
      <c r="C361" t="s">
        <v>15</v>
      </c>
      <c r="D361" t="s">
        <v>16</v>
      </c>
      <c r="E361" t="s">
        <v>17</v>
      </c>
      <c r="F361" t="s">
        <v>18</v>
      </c>
      <c r="G361" t="s">
        <v>19</v>
      </c>
    </row>
    <row r="362" spans="1:7" x14ac:dyDescent="0.2">
      <c r="A362" t="s">
        <v>53</v>
      </c>
      <c r="B362">
        <v>12</v>
      </c>
      <c r="C362" t="s">
        <v>21</v>
      </c>
      <c r="D362" t="s">
        <v>58</v>
      </c>
      <c r="E362">
        <v>600.04291200637795</v>
      </c>
      <c r="F362">
        <v>52424</v>
      </c>
      <c r="G362">
        <v>10552</v>
      </c>
    </row>
    <row r="363" spans="1:7" x14ac:dyDescent="0.2">
      <c r="A363" t="s">
        <v>0</v>
      </c>
      <c r="B363" t="s">
        <v>14</v>
      </c>
      <c r="C363" t="s">
        <v>15</v>
      </c>
      <c r="D363" t="s">
        <v>16</v>
      </c>
      <c r="E363" t="s">
        <v>17</v>
      </c>
    </row>
    <row r="364" spans="1:7" x14ac:dyDescent="0.2">
      <c r="A364" t="s">
        <v>55</v>
      </c>
      <c r="B364">
        <v>12</v>
      </c>
      <c r="C364" t="s">
        <v>22</v>
      </c>
      <c r="D364" t="s">
        <v>23</v>
      </c>
      <c r="E364">
        <v>600.00784611701897</v>
      </c>
      <c r="F364">
        <v>364</v>
      </c>
    </row>
    <row r="365" spans="1:7" x14ac:dyDescent="0.2">
      <c r="A365" t="s">
        <v>0</v>
      </c>
      <c r="B365" t="s">
        <v>14</v>
      </c>
      <c r="C365" t="s">
        <v>15</v>
      </c>
      <c r="D365" t="s">
        <v>16</v>
      </c>
      <c r="E365" t="s">
        <v>17</v>
      </c>
      <c r="F365" t="s">
        <v>18</v>
      </c>
      <c r="G365" t="s">
        <v>19</v>
      </c>
    </row>
    <row r="366" spans="1:7" x14ac:dyDescent="0.2">
      <c r="A366" t="s">
        <v>50</v>
      </c>
      <c r="B366">
        <v>12</v>
      </c>
      <c r="C366" t="s">
        <v>21</v>
      </c>
      <c r="D366" t="s">
        <v>59</v>
      </c>
      <c r="E366">
        <v>600.04095888137795</v>
      </c>
      <c r="F366">
        <v>39300</v>
      </c>
      <c r="G366">
        <v>5365</v>
      </c>
    </row>
    <row r="367" spans="1:7" x14ac:dyDescent="0.2">
      <c r="A367" t="s">
        <v>0</v>
      </c>
      <c r="B367" t="s">
        <v>14</v>
      </c>
      <c r="C367" t="s">
        <v>15</v>
      </c>
      <c r="D367" t="s">
        <v>16</v>
      </c>
      <c r="E367" t="s">
        <v>17</v>
      </c>
      <c r="F367" t="s">
        <v>18</v>
      </c>
      <c r="G367" t="s">
        <v>19</v>
      </c>
    </row>
    <row r="368" spans="1:7" x14ac:dyDescent="0.2">
      <c r="A368" t="s">
        <v>53</v>
      </c>
      <c r="B368">
        <v>12</v>
      </c>
      <c r="C368" t="s">
        <v>21</v>
      </c>
      <c r="D368" t="s">
        <v>59</v>
      </c>
      <c r="E368">
        <v>600.01393008232105</v>
      </c>
      <c r="F368">
        <v>52305</v>
      </c>
      <c r="G368">
        <v>9066</v>
      </c>
    </row>
    <row r="369" spans="1:7" x14ac:dyDescent="0.2">
      <c r="A369" t="s">
        <v>0</v>
      </c>
      <c r="B369" t="s">
        <v>14</v>
      </c>
      <c r="C369" t="s">
        <v>15</v>
      </c>
      <c r="D369" t="s">
        <v>16</v>
      </c>
      <c r="E369" t="s">
        <v>17</v>
      </c>
    </row>
    <row r="370" spans="1:7" x14ac:dyDescent="0.2">
      <c r="A370" t="s">
        <v>50</v>
      </c>
      <c r="B370">
        <v>12</v>
      </c>
      <c r="C370" t="s">
        <v>22</v>
      </c>
      <c r="D370" t="s">
        <v>23</v>
      </c>
      <c r="E370">
        <v>600.006518840789</v>
      </c>
      <c r="F370">
        <v>600</v>
      </c>
    </row>
    <row r="371" spans="1:7" x14ac:dyDescent="0.2">
      <c r="A371" t="s">
        <v>0</v>
      </c>
      <c r="B371" t="s">
        <v>14</v>
      </c>
      <c r="C371" t="s">
        <v>15</v>
      </c>
      <c r="D371" t="s">
        <v>16</v>
      </c>
      <c r="E371" t="s">
        <v>17</v>
      </c>
    </row>
    <row r="372" spans="1:7" x14ac:dyDescent="0.2">
      <c r="A372" t="s">
        <v>53</v>
      </c>
      <c r="B372">
        <v>12</v>
      </c>
      <c r="C372" t="s">
        <v>22</v>
      </c>
      <c r="D372" t="s">
        <v>23</v>
      </c>
      <c r="E372">
        <v>600.01244282722405</v>
      </c>
      <c r="F372">
        <v>700</v>
      </c>
    </row>
    <row r="373" spans="1:7" x14ac:dyDescent="0.2">
      <c r="A373" t="s">
        <v>0</v>
      </c>
      <c r="B373" t="s">
        <v>14</v>
      </c>
      <c r="C373" t="s">
        <v>15</v>
      </c>
      <c r="D373" t="s">
        <v>16</v>
      </c>
      <c r="E373" t="s">
        <v>17</v>
      </c>
      <c r="F373" t="s">
        <v>18</v>
      </c>
      <c r="G373" t="s">
        <v>19</v>
      </c>
    </row>
    <row r="374" spans="1:7" x14ac:dyDescent="0.2">
      <c r="A374" t="s">
        <v>51</v>
      </c>
      <c r="B374">
        <v>12</v>
      </c>
      <c r="C374" t="s">
        <v>21</v>
      </c>
      <c r="D374" t="s">
        <v>1</v>
      </c>
      <c r="E374">
        <v>600.02004289626996</v>
      </c>
      <c r="F374">
        <v>236618</v>
      </c>
      <c r="G374">
        <v>7586</v>
      </c>
    </row>
    <row r="375" spans="1:7" x14ac:dyDescent="0.2">
      <c r="A375" t="s">
        <v>0</v>
      </c>
      <c r="B375" t="s">
        <v>14</v>
      </c>
      <c r="C375" t="s">
        <v>15</v>
      </c>
      <c r="D375" t="s">
        <v>16</v>
      </c>
      <c r="E375" t="s">
        <v>17</v>
      </c>
      <c r="F375" t="s">
        <v>18</v>
      </c>
      <c r="G375" t="s">
        <v>19</v>
      </c>
    </row>
    <row r="376" spans="1:7" x14ac:dyDescent="0.2">
      <c r="A376" t="s">
        <v>51</v>
      </c>
      <c r="B376">
        <v>12</v>
      </c>
      <c r="C376" t="s">
        <v>21</v>
      </c>
      <c r="D376" t="s">
        <v>59</v>
      </c>
      <c r="E376">
        <v>600.04389095306396</v>
      </c>
      <c r="F376">
        <v>41629</v>
      </c>
      <c r="G376">
        <v>5415</v>
      </c>
    </row>
    <row r="377" spans="1:7" x14ac:dyDescent="0.2">
      <c r="A377" t="s">
        <v>0</v>
      </c>
      <c r="B377" t="s">
        <v>14</v>
      </c>
      <c r="C377" t="s">
        <v>15</v>
      </c>
      <c r="D377" t="s">
        <v>16</v>
      </c>
      <c r="E377" t="s">
        <v>17</v>
      </c>
    </row>
    <row r="378" spans="1:7" x14ac:dyDescent="0.2">
      <c r="A378" t="s">
        <v>53</v>
      </c>
      <c r="B378">
        <v>10</v>
      </c>
      <c r="C378" t="s">
        <v>22</v>
      </c>
      <c r="D378" t="s">
        <v>23</v>
      </c>
      <c r="E378">
        <v>600.00926089286804</v>
      </c>
      <c r="F378">
        <v>360</v>
      </c>
    </row>
    <row r="379" spans="1:7" x14ac:dyDescent="0.2">
      <c r="A379" t="s">
        <v>0</v>
      </c>
      <c r="B379" t="s">
        <v>14</v>
      </c>
      <c r="C379" t="s">
        <v>15</v>
      </c>
      <c r="D379" t="s">
        <v>16</v>
      </c>
      <c r="E379" t="s">
        <v>17</v>
      </c>
      <c r="F379" t="s">
        <v>18</v>
      </c>
      <c r="G379" t="s">
        <v>19</v>
      </c>
    </row>
    <row r="380" spans="1:7" x14ac:dyDescent="0.2">
      <c r="A380" t="s">
        <v>51</v>
      </c>
      <c r="B380">
        <v>12</v>
      </c>
      <c r="C380" t="s">
        <v>21</v>
      </c>
      <c r="D380" t="s">
        <v>58</v>
      </c>
      <c r="E380">
        <v>600.02456903457596</v>
      </c>
      <c r="F380">
        <v>52559</v>
      </c>
      <c r="G380">
        <v>10999</v>
      </c>
    </row>
    <row r="381" spans="1:7" x14ac:dyDescent="0.2">
      <c r="A381" t="s">
        <v>0</v>
      </c>
      <c r="B381" t="s">
        <v>14</v>
      </c>
      <c r="C381" t="s">
        <v>15</v>
      </c>
      <c r="D381" t="s">
        <v>16</v>
      </c>
      <c r="E381" t="s">
        <v>17</v>
      </c>
    </row>
    <row r="382" spans="1:7" x14ac:dyDescent="0.2">
      <c r="A382" t="s">
        <v>51</v>
      </c>
      <c r="B382">
        <v>12</v>
      </c>
      <c r="C382" t="s">
        <v>22</v>
      </c>
      <c r="D382" t="s">
        <v>23</v>
      </c>
      <c r="E382">
        <v>600.01080298423699</v>
      </c>
      <c r="F382">
        <v>400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200_+</vt:lpstr>
      <vt:lpstr>300_+</vt:lpstr>
      <vt:lpstr>400_+</vt:lpstr>
      <vt:lpstr>Overall</vt:lpstr>
      <vt:lpstr>200_+l</vt:lpstr>
      <vt:lpstr>Overall_l</vt:lpstr>
      <vt:lpstr>200_+_noddterm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Cory-Wright</dc:creator>
  <cp:lastModifiedBy>Ryan Cory-Wright</cp:lastModifiedBy>
  <dcterms:created xsi:type="dcterms:W3CDTF">2019-08-05T19:00:03Z</dcterms:created>
  <dcterms:modified xsi:type="dcterms:W3CDTF">2019-09-12T21:45:31Z</dcterms:modified>
</cp:coreProperties>
</file>