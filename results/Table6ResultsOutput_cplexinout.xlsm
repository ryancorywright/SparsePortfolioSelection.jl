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Sparse Portfolios Project/OptimalMarkowitzPortfolios.jl/results/"/>
    </mc:Choice>
  </mc:AlternateContent>
  <xr:revisionPtr revIDLastSave="0" documentId="13_ncr:1_{88CD18BC-27F0-B546-B51B-D0F631E49D40}" xr6:coauthVersionLast="46" xr6:coauthVersionMax="46" xr10:uidLastSave="{00000000-0000-0000-0000-000000000000}"/>
  <bookViews>
    <workbookView xWindow="0" yWindow="500" windowWidth="33600" windowHeight="20500" activeTab="3" xr2:uid="{00000000-000D-0000-FFFF-FFFF00000000}"/>
  </bookViews>
  <sheets>
    <sheet name="200_+" sheetId="1" r:id="rId1"/>
    <sheet name="300_+" sheetId="3" r:id="rId2"/>
    <sheet name="400_+" sheetId="4" r:id="rId3"/>
    <sheet name="Overall" sheetId="2" r:id="rId4"/>
  </sheets>
  <definedNames>
    <definedName name="_xlnm._FilterDatabase" localSheetId="1" hidden="1">'300_+'!$J$1:$J$400</definedName>
    <definedName name="_xlnm._FilterDatabase" localSheetId="2" hidden="1">'400_+'!$J$1:$J$400</definedName>
  </definedNames>
  <calcPr calcId="191029"/>
</workbook>
</file>

<file path=xl/calcChain.xml><?xml version="1.0" encoding="utf-8"?>
<calcChain xmlns="http://schemas.openxmlformats.org/spreadsheetml/2006/main">
  <c r="I53" i="4" l="1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L20" i="4" l="1"/>
  <c r="L44" i="4"/>
  <c r="N17" i="3"/>
  <c r="L32" i="4"/>
  <c r="L12" i="4"/>
  <c r="L24" i="4"/>
  <c r="O24" i="4"/>
  <c r="L36" i="4"/>
  <c r="L48" i="4"/>
  <c r="N15" i="4"/>
  <c r="K7" i="4"/>
  <c r="L16" i="4"/>
  <c r="L7" i="4"/>
  <c r="N7" i="4"/>
  <c r="L28" i="4"/>
  <c r="L40" i="4"/>
  <c r="L52" i="4"/>
  <c r="L8" i="4"/>
  <c r="L28" i="3"/>
  <c r="L40" i="3"/>
  <c r="L4" i="3"/>
  <c r="L44" i="3"/>
  <c r="N29" i="3"/>
  <c r="N4" i="3"/>
  <c r="N9" i="3"/>
  <c r="L12" i="3"/>
  <c r="L20" i="3"/>
  <c r="N21" i="3"/>
  <c r="L32" i="3"/>
  <c r="N5" i="3"/>
  <c r="L24" i="3"/>
  <c r="N25" i="3"/>
  <c r="L36" i="3"/>
  <c r="L48" i="3"/>
  <c r="L52" i="3"/>
  <c r="N20" i="3"/>
  <c r="N13" i="3"/>
  <c r="L16" i="3"/>
  <c r="N24" i="3"/>
  <c r="N16" i="3"/>
  <c r="L8" i="3"/>
  <c r="L4" i="4"/>
  <c r="L35" i="4"/>
  <c r="N35" i="4"/>
  <c r="N11" i="4"/>
  <c r="N20" i="4"/>
  <c r="O28" i="4"/>
  <c r="K11" i="4"/>
  <c r="L11" i="4"/>
  <c r="O20" i="4"/>
  <c r="O48" i="4"/>
  <c r="K15" i="4"/>
  <c r="L39" i="4"/>
  <c r="N39" i="4"/>
  <c r="K35" i="4"/>
  <c r="N40" i="4"/>
  <c r="N12" i="4"/>
  <c r="O40" i="4"/>
  <c r="O12" i="4"/>
  <c r="N31" i="4"/>
  <c r="N36" i="4"/>
  <c r="K51" i="4"/>
  <c r="K23" i="4"/>
  <c r="L27" i="4"/>
  <c r="L23" i="4"/>
  <c r="N27" i="4"/>
  <c r="N32" i="4"/>
  <c r="K47" i="4"/>
  <c r="N51" i="4"/>
  <c r="N44" i="4"/>
  <c r="N16" i="4"/>
  <c r="K27" i="4"/>
  <c r="O36" i="4"/>
  <c r="L51" i="4"/>
  <c r="O8" i="4"/>
  <c r="O4" i="4"/>
  <c r="K19" i="4"/>
  <c r="N23" i="4"/>
  <c r="O32" i="4"/>
  <c r="L47" i="4"/>
  <c r="O16" i="4"/>
  <c r="K31" i="4"/>
  <c r="Q31" i="4" s="1"/>
  <c r="L31" i="4"/>
  <c r="N8" i="4"/>
  <c r="N4" i="4"/>
  <c r="L19" i="4"/>
  <c r="N28" i="4"/>
  <c r="K43" i="4"/>
  <c r="N47" i="4"/>
  <c r="N52" i="4"/>
  <c r="L43" i="4"/>
  <c r="O52" i="4"/>
  <c r="O44" i="4"/>
  <c r="N19" i="4"/>
  <c r="L15" i="4"/>
  <c r="N24" i="4"/>
  <c r="K39" i="4"/>
  <c r="N43" i="4"/>
  <c r="N48" i="4"/>
  <c r="K6" i="4"/>
  <c r="O7" i="4"/>
  <c r="K10" i="4"/>
  <c r="O11" i="4"/>
  <c r="K14" i="4"/>
  <c r="O15" i="4"/>
  <c r="K18" i="4"/>
  <c r="O19" i="4"/>
  <c r="K22" i="4"/>
  <c r="O23" i="4"/>
  <c r="K26" i="4"/>
  <c r="O27" i="4"/>
  <c r="K30" i="4"/>
  <c r="O31" i="4"/>
  <c r="K34" i="4"/>
  <c r="O35" i="4"/>
  <c r="K38" i="4"/>
  <c r="O39" i="4"/>
  <c r="K42" i="4"/>
  <c r="O43" i="4"/>
  <c r="K46" i="4"/>
  <c r="O47" i="4"/>
  <c r="K50" i="4"/>
  <c r="O51" i="4"/>
  <c r="L6" i="4"/>
  <c r="L10" i="4"/>
  <c r="L14" i="4"/>
  <c r="L18" i="4"/>
  <c r="L22" i="4"/>
  <c r="L26" i="4"/>
  <c r="L30" i="4"/>
  <c r="L34" i="4"/>
  <c r="L38" i="4"/>
  <c r="L42" i="4"/>
  <c r="L46" i="4"/>
  <c r="L50" i="4"/>
  <c r="N18" i="4"/>
  <c r="N26" i="4"/>
  <c r="N30" i="4"/>
  <c r="N38" i="4"/>
  <c r="N46" i="4"/>
  <c r="N10" i="4"/>
  <c r="N14" i="4"/>
  <c r="N22" i="4"/>
  <c r="N50" i="4"/>
  <c r="K5" i="4"/>
  <c r="O6" i="4"/>
  <c r="K9" i="4"/>
  <c r="O10" i="4"/>
  <c r="K13" i="4"/>
  <c r="O14" i="4"/>
  <c r="K17" i="4"/>
  <c r="O18" i="4"/>
  <c r="K21" i="4"/>
  <c r="O22" i="4"/>
  <c r="K25" i="4"/>
  <c r="O26" i="4"/>
  <c r="K29" i="4"/>
  <c r="O30" i="4"/>
  <c r="K33" i="4"/>
  <c r="O34" i="4"/>
  <c r="K37" i="4"/>
  <c r="O38" i="4"/>
  <c r="K41" i="4"/>
  <c r="O42" i="4"/>
  <c r="K45" i="4"/>
  <c r="O46" i="4"/>
  <c r="K49" i="4"/>
  <c r="O50" i="4"/>
  <c r="K53" i="4"/>
  <c r="N6" i="4"/>
  <c r="N34" i="4"/>
  <c r="N42" i="4"/>
  <c r="L5" i="4"/>
  <c r="L9" i="4"/>
  <c r="L13" i="4"/>
  <c r="L17" i="4"/>
  <c r="L21" i="4"/>
  <c r="L25" i="4"/>
  <c r="L29" i="4"/>
  <c r="L33" i="4"/>
  <c r="L37" i="4"/>
  <c r="L41" i="4"/>
  <c r="L45" i="4"/>
  <c r="L49" i="4"/>
  <c r="L53" i="4"/>
  <c r="N9" i="4"/>
  <c r="N17" i="4"/>
  <c r="N25" i="4"/>
  <c r="N29" i="4"/>
  <c r="N33" i="4"/>
  <c r="N53" i="4"/>
  <c r="N5" i="4"/>
  <c r="N13" i="4"/>
  <c r="N21" i="4"/>
  <c r="N45" i="4"/>
  <c r="N49" i="4"/>
  <c r="K4" i="4"/>
  <c r="O5" i="4"/>
  <c r="K8" i="4"/>
  <c r="O9" i="4"/>
  <c r="K12" i="4"/>
  <c r="O13" i="4"/>
  <c r="Q15" i="4"/>
  <c r="K16" i="4"/>
  <c r="O17" i="4"/>
  <c r="K20" i="4"/>
  <c r="O21" i="4"/>
  <c r="Q23" i="4"/>
  <c r="K24" i="4"/>
  <c r="O25" i="4"/>
  <c r="K28" i="4"/>
  <c r="O29" i="4"/>
  <c r="K32" i="4"/>
  <c r="O33" i="4"/>
  <c r="Q35" i="4"/>
  <c r="K36" i="4"/>
  <c r="O37" i="4"/>
  <c r="Q39" i="4"/>
  <c r="K40" i="4"/>
  <c r="O41" i="4"/>
  <c r="K44" i="4"/>
  <c r="O45" i="4"/>
  <c r="Q47" i="4"/>
  <c r="K48" i="4"/>
  <c r="O49" i="4"/>
  <c r="Q51" i="4"/>
  <c r="K52" i="4"/>
  <c r="O53" i="4"/>
  <c r="N37" i="4"/>
  <c r="N41" i="4"/>
  <c r="N32" i="3"/>
  <c r="N12" i="3"/>
  <c r="N28" i="3"/>
  <c r="N8" i="3"/>
  <c r="N40" i="3"/>
  <c r="N52" i="3"/>
  <c r="O4" i="3"/>
  <c r="K7" i="3"/>
  <c r="O8" i="3"/>
  <c r="K11" i="3"/>
  <c r="O12" i="3"/>
  <c r="K15" i="3"/>
  <c r="O16" i="3"/>
  <c r="K19" i="3"/>
  <c r="O20" i="3"/>
  <c r="K23" i="3"/>
  <c r="O24" i="3"/>
  <c r="K27" i="3"/>
  <c r="O28" i="3"/>
  <c r="K31" i="3"/>
  <c r="O32" i="3"/>
  <c r="K35" i="3"/>
  <c r="O36" i="3"/>
  <c r="K39" i="3"/>
  <c r="O40" i="3"/>
  <c r="K43" i="3"/>
  <c r="O44" i="3"/>
  <c r="K47" i="3"/>
  <c r="O48" i="3"/>
  <c r="K51" i="3"/>
  <c r="O52" i="3"/>
  <c r="N36" i="3"/>
  <c r="N44" i="3"/>
  <c r="N48" i="3"/>
  <c r="L7" i="3"/>
  <c r="L11" i="3"/>
  <c r="L15" i="3"/>
  <c r="L19" i="3"/>
  <c r="L23" i="3"/>
  <c r="L27" i="3"/>
  <c r="L31" i="3"/>
  <c r="L35" i="3"/>
  <c r="L39" i="3"/>
  <c r="L43" i="3"/>
  <c r="L47" i="3"/>
  <c r="L51" i="3"/>
  <c r="N11" i="3"/>
  <c r="N31" i="3"/>
  <c r="N27" i="3"/>
  <c r="N35" i="3"/>
  <c r="N39" i="3"/>
  <c r="N51" i="3"/>
  <c r="K6" i="3"/>
  <c r="O7" i="3"/>
  <c r="K10" i="3"/>
  <c r="O11" i="3"/>
  <c r="K14" i="3"/>
  <c r="O15" i="3"/>
  <c r="K18" i="3"/>
  <c r="O19" i="3"/>
  <c r="K22" i="3"/>
  <c r="O23" i="3"/>
  <c r="K26" i="3"/>
  <c r="O27" i="3"/>
  <c r="K30" i="3"/>
  <c r="O31" i="3"/>
  <c r="K34" i="3"/>
  <c r="O35" i="3"/>
  <c r="K38" i="3"/>
  <c r="O39" i="3"/>
  <c r="K42" i="3"/>
  <c r="O43" i="3"/>
  <c r="K46" i="3"/>
  <c r="O47" i="3"/>
  <c r="K50" i="3"/>
  <c r="O51" i="3"/>
  <c r="N7" i="3"/>
  <c r="N15" i="3"/>
  <c r="N19" i="3"/>
  <c r="N23" i="3"/>
  <c r="N43" i="3"/>
  <c r="N47" i="3"/>
  <c r="L6" i="3"/>
  <c r="L10" i="3"/>
  <c r="L14" i="3"/>
  <c r="L18" i="3"/>
  <c r="L22" i="3"/>
  <c r="L26" i="3"/>
  <c r="L30" i="3"/>
  <c r="L34" i="3"/>
  <c r="L38" i="3"/>
  <c r="L42" i="3"/>
  <c r="L46" i="3"/>
  <c r="L50" i="3"/>
  <c r="N6" i="3"/>
  <c r="N14" i="3"/>
  <c r="N18" i="3"/>
  <c r="N10" i="3"/>
  <c r="N22" i="3"/>
  <c r="N30" i="3"/>
  <c r="N46" i="3"/>
  <c r="N50" i="3"/>
  <c r="K5" i="3"/>
  <c r="O6" i="3"/>
  <c r="K9" i="3"/>
  <c r="O10" i="3"/>
  <c r="K13" i="3"/>
  <c r="O14" i="3"/>
  <c r="K17" i="3"/>
  <c r="O18" i="3"/>
  <c r="K21" i="3"/>
  <c r="O22" i="3"/>
  <c r="K25" i="3"/>
  <c r="O26" i="3"/>
  <c r="K29" i="3"/>
  <c r="O30" i="3"/>
  <c r="K33" i="3"/>
  <c r="O34" i="3"/>
  <c r="K37" i="3"/>
  <c r="O38" i="3"/>
  <c r="K41" i="3"/>
  <c r="O42" i="3"/>
  <c r="K45" i="3"/>
  <c r="O46" i="3"/>
  <c r="K49" i="3"/>
  <c r="O50" i="3"/>
  <c r="K53" i="3"/>
  <c r="N26" i="3"/>
  <c r="N34" i="3"/>
  <c r="N38" i="3"/>
  <c r="N42" i="3"/>
  <c r="L5" i="3"/>
  <c r="L9" i="3"/>
  <c r="L13" i="3"/>
  <c r="L17" i="3"/>
  <c r="L21" i="3"/>
  <c r="L25" i="3"/>
  <c r="L29" i="3"/>
  <c r="L33" i="3"/>
  <c r="L37" i="3"/>
  <c r="L41" i="3"/>
  <c r="L45" i="3"/>
  <c r="L49" i="3"/>
  <c r="L53" i="3"/>
  <c r="N33" i="3"/>
  <c r="N41" i="3"/>
  <c r="N53" i="3"/>
  <c r="K4" i="3"/>
  <c r="O5" i="3"/>
  <c r="K8" i="3"/>
  <c r="O9" i="3"/>
  <c r="K12" i="3"/>
  <c r="O13" i="3"/>
  <c r="Q15" i="3"/>
  <c r="K16" i="3"/>
  <c r="O17" i="3"/>
  <c r="Q19" i="3"/>
  <c r="K20" i="3"/>
  <c r="O21" i="3"/>
  <c r="Q23" i="3"/>
  <c r="K24" i="3"/>
  <c r="O25" i="3"/>
  <c r="K28" i="3"/>
  <c r="O29" i="3"/>
  <c r="Q31" i="3"/>
  <c r="K32" i="3"/>
  <c r="O33" i="3"/>
  <c r="Q35" i="3"/>
  <c r="K36" i="3"/>
  <c r="O37" i="3"/>
  <c r="Q39" i="3"/>
  <c r="K40" i="3"/>
  <c r="O41" i="3"/>
  <c r="Q43" i="3"/>
  <c r="K44" i="3"/>
  <c r="O45" i="3"/>
  <c r="Q47" i="3"/>
  <c r="K48" i="3"/>
  <c r="O49" i="3"/>
  <c r="Q51" i="3"/>
  <c r="K52" i="3"/>
  <c r="O53" i="3"/>
  <c r="N37" i="3"/>
  <c r="N45" i="3"/>
  <c r="N49" i="3"/>
  <c r="I50" i="1"/>
  <c r="I51" i="1"/>
  <c r="I52" i="1"/>
  <c r="I53" i="1"/>
  <c r="I45" i="1"/>
  <c r="I46" i="1"/>
  <c r="I47" i="1"/>
  <c r="I48" i="1"/>
  <c r="I40" i="1"/>
  <c r="I41" i="1"/>
  <c r="I42" i="1"/>
  <c r="I43" i="1"/>
  <c r="I35" i="1"/>
  <c r="I36" i="1"/>
  <c r="I37" i="1"/>
  <c r="I38" i="1"/>
  <c r="I30" i="1"/>
  <c r="I31" i="1"/>
  <c r="I32" i="1"/>
  <c r="I33" i="1"/>
  <c r="I25" i="1"/>
  <c r="I26" i="1"/>
  <c r="I27" i="1"/>
  <c r="I28" i="1"/>
  <c r="I20" i="1"/>
  <c r="I21" i="1"/>
  <c r="I22" i="1"/>
  <c r="I23" i="1"/>
  <c r="I15" i="1"/>
  <c r="I16" i="1"/>
  <c r="I17" i="1"/>
  <c r="I18" i="1"/>
  <c r="I10" i="1"/>
  <c r="I11" i="1"/>
  <c r="I12" i="1"/>
  <c r="I13" i="1"/>
  <c r="I5" i="1"/>
  <c r="I6" i="1"/>
  <c r="I7" i="1"/>
  <c r="I8" i="1"/>
  <c r="I4" i="1"/>
  <c r="I19" i="1"/>
  <c r="I24" i="1"/>
  <c r="I29" i="1"/>
  <c r="I34" i="1"/>
  <c r="I39" i="1"/>
  <c r="I44" i="1"/>
  <c r="I49" i="1"/>
  <c r="I14" i="1"/>
  <c r="I9" i="1"/>
  <c r="Q7" i="4" l="1"/>
  <c r="Q7" i="3"/>
  <c r="Q52" i="3"/>
  <c r="Q36" i="3"/>
  <c r="Q20" i="3"/>
  <c r="Q4" i="3"/>
  <c r="Q42" i="3"/>
  <c r="Q26" i="3"/>
  <c r="Q10" i="3"/>
  <c r="Q49" i="3"/>
  <c r="Q33" i="3"/>
  <c r="Q17" i="3"/>
  <c r="Q48" i="3"/>
  <c r="Q32" i="3"/>
  <c r="Q16" i="3"/>
  <c r="Q38" i="3"/>
  <c r="Q22" i="3"/>
  <c r="Q6" i="3"/>
  <c r="Q45" i="3"/>
  <c r="Q29" i="3"/>
  <c r="Q13" i="3"/>
  <c r="Q44" i="3"/>
  <c r="Q28" i="3"/>
  <c r="Q12" i="3"/>
  <c r="Q50" i="3"/>
  <c r="Q34" i="3"/>
  <c r="Q18" i="3"/>
  <c r="Q41" i="3"/>
  <c r="Q25" i="3"/>
  <c r="Q9" i="3"/>
  <c r="Q27" i="3"/>
  <c r="Q11" i="3"/>
  <c r="Q40" i="3"/>
  <c r="Q24" i="3"/>
  <c r="Q8" i="3"/>
  <c r="Q46" i="3"/>
  <c r="Q30" i="3"/>
  <c r="Q14" i="3"/>
  <c r="Q53" i="3"/>
  <c r="Q37" i="3"/>
  <c r="Q21" i="3"/>
  <c r="Q5" i="3"/>
  <c r="K46" i="1"/>
  <c r="Q19" i="4"/>
  <c r="Q43" i="4"/>
  <c r="Q27" i="4"/>
  <c r="Q14" i="4"/>
  <c r="E17" i="2"/>
  <c r="Q10" i="4"/>
  <c r="E18" i="2"/>
  <c r="Q42" i="4"/>
  <c r="Q34" i="4"/>
  <c r="Q30" i="4"/>
  <c r="E15" i="2"/>
  <c r="Q48" i="4"/>
  <c r="Q32" i="4"/>
  <c r="Q16" i="4"/>
  <c r="Q41" i="4"/>
  <c r="Q25" i="4"/>
  <c r="Q9" i="4"/>
  <c r="Q22" i="4"/>
  <c r="Q44" i="4"/>
  <c r="Q28" i="4"/>
  <c r="Q12" i="4"/>
  <c r="Q53" i="4"/>
  <c r="Q37" i="4"/>
  <c r="Q21" i="4"/>
  <c r="Q5" i="4"/>
  <c r="E14" i="2"/>
  <c r="Q38" i="4"/>
  <c r="Q40" i="4"/>
  <c r="Q24" i="4"/>
  <c r="Q8" i="4"/>
  <c r="Q6" i="4"/>
  <c r="Q49" i="4"/>
  <c r="Q33" i="4"/>
  <c r="Q17" i="4"/>
  <c r="Q46" i="4"/>
  <c r="Q11" i="4"/>
  <c r="Q18" i="4"/>
  <c r="Q52" i="4"/>
  <c r="Q36" i="4"/>
  <c r="Q20" i="4"/>
  <c r="Q4" i="4"/>
  <c r="Q45" i="4"/>
  <c r="Q29" i="4"/>
  <c r="Q13" i="4"/>
  <c r="Q50" i="4"/>
  <c r="E16" i="2"/>
  <c r="Q26" i="4"/>
  <c r="D14" i="2"/>
  <c r="F15" i="2"/>
  <c r="F14" i="2"/>
  <c r="F16" i="2"/>
  <c r="F17" i="2"/>
  <c r="F18" i="2"/>
  <c r="D9" i="2"/>
  <c r="F10" i="2"/>
  <c r="F12" i="2"/>
  <c r="F13" i="2"/>
  <c r="F11" i="2"/>
  <c r="F9" i="2"/>
  <c r="E11" i="2"/>
  <c r="E12" i="2"/>
  <c r="E10" i="2"/>
  <c r="D11" i="2"/>
  <c r="D13" i="2"/>
  <c r="D10" i="2"/>
  <c r="E13" i="2"/>
  <c r="E9" i="2"/>
  <c r="D12" i="2"/>
  <c r="D17" i="2"/>
  <c r="D16" i="2"/>
  <c r="D18" i="2"/>
  <c r="D15" i="2"/>
  <c r="L53" i="1"/>
  <c r="L48" i="1"/>
  <c r="K53" i="1"/>
  <c r="K43" i="1"/>
  <c r="K42" i="1"/>
  <c r="K41" i="1"/>
  <c r="K31" i="1"/>
  <c r="L45" i="1"/>
  <c r="L42" i="1"/>
  <c r="L41" i="1"/>
  <c r="L40" i="1"/>
  <c r="K47" i="1"/>
  <c r="L4" i="1"/>
  <c r="L30" i="1"/>
  <c r="L18" i="1"/>
  <c r="L6" i="1"/>
  <c r="K44" i="1"/>
  <c r="K32" i="1"/>
  <c r="K20" i="1"/>
  <c r="K8" i="1"/>
  <c r="L29" i="1"/>
  <c r="L17" i="1"/>
  <c r="L5" i="1"/>
  <c r="K19" i="1"/>
  <c r="K7" i="1"/>
  <c r="L52" i="1"/>
  <c r="L28" i="1"/>
  <c r="L16" i="1"/>
  <c r="K4" i="1"/>
  <c r="K30" i="1"/>
  <c r="K18" i="1"/>
  <c r="K6" i="1"/>
  <c r="L51" i="1"/>
  <c r="L39" i="1"/>
  <c r="L27" i="1"/>
  <c r="L15" i="1"/>
  <c r="K29" i="1"/>
  <c r="K17" i="1"/>
  <c r="K5" i="1"/>
  <c r="L50" i="1"/>
  <c r="L38" i="1"/>
  <c r="L26" i="1"/>
  <c r="L14" i="1"/>
  <c r="K52" i="1"/>
  <c r="K40" i="1"/>
  <c r="K28" i="1"/>
  <c r="K16" i="1"/>
  <c r="L49" i="1"/>
  <c r="L37" i="1"/>
  <c r="L25" i="1"/>
  <c r="L13" i="1"/>
  <c r="K51" i="1"/>
  <c r="K39" i="1"/>
  <c r="K27" i="1"/>
  <c r="K15" i="1"/>
  <c r="L36" i="1"/>
  <c r="L24" i="1"/>
  <c r="L12" i="1"/>
  <c r="K50" i="1"/>
  <c r="K38" i="1"/>
  <c r="K26" i="1"/>
  <c r="K14" i="1"/>
  <c r="L47" i="1"/>
  <c r="L35" i="1"/>
  <c r="L23" i="1"/>
  <c r="L11" i="1"/>
  <c r="K49" i="1"/>
  <c r="K37" i="1"/>
  <c r="K25" i="1"/>
  <c r="K13" i="1"/>
  <c r="L46" i="1"/>
  <c r="L34" i="1"/>
  <c r="L22" i="1"/>
  <c r="L10" i="1"/>
  <c r="K48" i="1"/>
  <c r="K36" i="1"/>
  <c r="K24" i="1"/>
  <c r="K12" i="1"/>
  <c r="L33" i="1"/>
  <c r="L21" i="1"/>
  <c r="L9" i="1"/>
  <c r="K35" i="1"/>
  <c r="K23" i="1"/>
  <c r="K11" i="1"/>
  <c r="L44" i="1"/>
  <c r="L32" i="1"/>
  <c r="L20" i="1"/>
  <c r="L8" i="1"/>
  <c r="K34" i="1"/>
  <c r="K22" i="1"/>
  <c r="K10" i="1"/>
  <c r="L43" i="1"/>
  <c r="L31" i="1"/>
  <c r="L19" i="1"/>
  <c r="L7" i="1"/>
  <c r="K45" i="1"/>
  <c r="K33" i="1"/>
  <c r="K21" i="1"/>
  <c r="K9" i="1"/>
  <c r="F7" i="2" l="1"/>
  <c r="F5" i="2"/>
  <c r="F6" i="2"/>
  <c r="F8" i="2"/>
  <c r="F4" i="2"/>
  <c r="E6" i="2"/>
  <c r="D4" i="2"/>
  <c r="E8" i="2"/>
  <c r="E4" i="2"/>
  <c r="D7" i="2"/>
  <c r="D5" i="2"/>
  <c r="E5" i="2"/>
  <c r="E7" i="2"/>
  <c r="D8" i="2"/>
  <c r="D6" i="2"/>
</calcChain>
</file>

<file path=xl/sharedStrings.xml><?xml version="1.0" encoding="utf-8"?>
<sst xmlns="http://schemas.openxmlformats.org/spreadsheetml/2006/main" count="1248" uniqueCount="53">
  <si>
    <t>Instance</t>
  </si>
  <si>
    <t>MISOCP</t>
  </si>
  <si>
    <t>Nodes</t>
  </si>
  <si>
    <t>Time(s)</t>
  </si>
  <si>
    <t>Count MISOCP</t>
  </si>
  <si>
    <t>Cardinality</t>
  </si>
  <si>
    <t>Name</t>
  </si>
  <si>
    <t>200+</t>
  </si>
  <si>
    <t>Count OA</t>
  </si>
  <si>
    <t>LaTeX Version (main body of rows)</t>
  </si>
  <si>
    <t xml:space="preserve"> cardinality</t>
  </si>
  <si>
    <t xml:space="preserve"> regularizer</t>
  </si>
  <si>
    <t xml:space="preserve"> method</t>
  </si>
  <si>
    <t xml:space="preserve"> solvetime</t>
  </si>
  <si>
    <t>pard200_1</t>
  </si>
  <si>
    <t>1000/sqrt(n)</t>
  </si>
  <si>
    <t>CPLEX MISOCP</t>
  </si>
  <si>
    <t>pard200_</t>
  </si>
  <si>
    <t>pard200_2</t>
  </si>
  <si>
    <t>pard200_3</t>
  </si>
  <si>
    <t>pard200_4</t>
  </si>
  <si>
    <t>pard200_5</t>
  </si>
  <si>
    <t>pard200_6</t>
  </si>
  <si>
    <t>pard200_7</t>
  </si>
  <si>
    <t>pard200_8</t>
  </si>
  <si>
    <t>pard200_9</t>
  </si>
  <si>
    <t>pard200_10</t>
  </si>
  <si>
    <t>pard300_</t>
  </si>
  <si>
    <t>300+</t>
  </si>
  <si>
    <t>pard400_</t>
  </si>
  <si>
    <t>400+</t>
  </si>
  <si>
    <t>No. not Solved within 600s</t>
  </si>
  <si>
    <t>1000/n</t>
  </si>
  <si>
    <t>pard300_1</t>
  </si>
  <si>
    <t>pard300_2</t>
  </si>
  <si>
    <t>pard300_3</t>
  </si>
  <si>
    <t>pard300_4</t>
  </si>
  <si>
    <t>pard300_5</t>
  </si>
  <si>
    <t>pard300_6</t>
  </si>
  <si>
    <t>pard300_7</t>
  </si>
  <si>
    <t>pard300_8</t>
  </si>
  <si>
    <t>pard300_9</t>
  </si>
  <si>
    <t>pard300_10</t>
  </si>
  <si>
    <t>pard400_1</t>
  </si>
  <si>
    <t>pard400_2</t>
  </si>
  <si>
    <t>pard400_3</t>
  </si>
  <si>
    <t>pard400_4</t>
  </si>
  <si>
    <t>pard400_5</t>
  </si>
  <si>
    <t>pard400_6</t>
  </si>
  <si>
    <t>pard400_7</t>
  </si>
  <si>
    <t>pard400_8</t>
  </si>
  <si>
    <t>pard400_9</t>
  </si>
  <si>
    <t>pard400_10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</si>
</sst>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" fontId="0" fillId="0" borderId="0" xfId="0" applyNumberFormat="1"/>
    <xf numFmtId="0" fontId="0" fillId="0" borderId="0" xfId="0" applyFill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"/>
  <sheetViews>
    <sheetView topLeftCell="A62" workbookViewId="0">
      <selection activeCell="A81" sqref="A81:F100"/>
    </sheetView>
  </sheetViews>
  <sheetFormatPr baseColWidth="10" defaultRowHeight="16" x14ac:dyDescent="0.2"/>
  <cols>
    <col min="1" max="1" width="13.6640625" bestFit="1" customWidth="1"/>
    <col min="6" max="6" width="10.1640625" bestFit="1" customWidth="1"/>
    <col min="7" max="7" width="5.1640625" bestFit="1" customWidth="1"/>
  </cols>
  <sheetData>
    <row r="1" spans="1:12" x14ac:dyDescent="0.2">
      <c r="A1" t="s">
        <v>0</v>
      </c>
      <c r="B1" t="s">
        <v>10</v>
      </c>
      <c r="C1" t="s">
        <v>11</v>
      </c>
      <c r="D1" t="s">
        <v>12</v>
      </c>
      <c r="E1" t="s">
        <v>13</v>
      </c>
      <c r="H1" t="s">
        <v>6</v>
      </c>
      <c r="I1" t="s">
        <v>17</v>
      </c>
    </row>
    <row r="2" spans="1:12" x14ac:dyDescent="0.2">
      <c r="A2" t="s">
        <v>14</v>
      </c>
      <c r="B2">
        <v>10</v>
      </c>
      <c r="C2" t="s">
        <v>32</v>
      </c>
      <c r="D2" t="s">
        <v>16</v>
      </c>
      <c r="E2">
        <v>209.34173703193599</v>
      </c>
      <c r="F2">
        <v>71</v>
      </c>
      <c r="K2" t="s">
        <v>1</v>
      </c>
    </row>
    <row r="3" spans="1:12" x14ac:dyDescent="0.2">
      <c r="A3" t="s">
        <v>0</v>
      </c>
      <c r="B3" t="s">
        <v>10</v>
      </c>
      <c r="C3" t="s">
        <v>11</v>
      </c>
      <c r="D3" t="s">
        <v>12</v>
      </c>
      <c r="E3" t="s">
        <v>13</v>
      </c>
      <c r="I3" t="s">
        <v>0</v>
      </c>
      <c r="J3" t="s">
        <v>5</v>
      </c>
      <c r="K3" t="s">
        <v>3</v>
      </c>
      <c r="L3" t="s">
        <v>2</v>
      </c>
    </row>
    <row r="4" spans="1:12" x14ac:dyDescent="0.2">
      <c r="A4" t="s">
        <v>18</v>
      </c>
      <c r="B4">
        <v>10</v>
      </c>
      <c r="C4" t="s">
        <v>32</v>
      </c>
      <c r="D4" t="s">
        <v>16</v>
      </c>
      <c r="E4">
        <v>600.00116896629299</v>
      </c>
      <c r="F4">
        <v>180</v>
      </c>
      <c r="I4" t="str">
        <f>CONCATENATE($I$1,"1")</f>
        <v>pard200_1</v>
      </c>
      <c r="J4">
        <v>6</v>
      </c>
      <c r="K4">
        <f t="shared" ref="K4:K35" si="0">SUMIFS(E:E,A:A,I4,B:B,J4,D:D,"CPLEX MISOCP")</f>
        <v>98.822993993759098</v>
      </c>
      <c r="L4">
        <f t="shared" ref="L4:L35" si="1">SUMIFS(F:F,A:A,I4,B:B,J4,D:D,"CPLEX MISOCP")</f>
        <v>33</v>
      </c>
    </row>
    <row r="5" spans="1:12" x14ac:dyDescent="0.2">
      <c r="A5" t="s">
        <v>0</v>
      </c>
      <c r="B5" t="s">
        <v>10</v>
      </c>
      <c r="C5" t="s">
        <v>11</v>
      </c>
      <c r="D5" t="s">
        <v>12</v>
      </c>
      <c r="E5" t="s">
        <v>13</v>
      </c>
      <c r="I5" t="str">
        <f t="shared" ref="I5:I8" si="2">CONCATENATE($I$1,"1")</f>
        <v>pard200_1</v>
      </c>
      <c r="J5">
        <v>8</v>
      </c>
      <c r="K5">
        <f t="shared" si="0"/>
        <v>139.124500036239</v>
      </c>
      <c r="L5">
        <f t="shared" si="1"/>
        <v>39</v>
      </c>
    </row>
    <row r="6" spans="1:12" x14ac:dyDescent="0.2">
      <c r="A6" t="s">
        <v>19</v>
      </c>
      <c r="B6">
        <v>10</v>
      </c>
      <c r="C6" t="s">
        <v>32</v>
      </c>
      <c r="D6" t="s">
        <v>16</v>
      </c>
      <c r="E6">
        <v>479.53995800018299</v>
      </c>
      <c r="F6">
        <v>136</v>
      </c>
      <c r="I6" t="str">
        <f t="shared" si="2"/>
        <v>pard200_1</v>
      </c>
      <c r="J6">
        <v>10</v>
      </c>
      <c r="K6">
        <f t="shared" si="0"/>
        <v>209.34173703193599</v>
      </c>
      <c r="L6">
        <f t="shared" si="1"/>
        <v>71</v>
      </c>
    </row>
    <row r="7" spans="1:12" x14ac:dyDescent="0.2">
      <c r="A7" t="s">
        <v>0</v>
      </c>
      <c r="B7" t="s">
        <v>10</v>
      </c>
      <c r="C7" t="s">
        <v>11</v>
      </c>
      <c r="D7" t="s">
        <v>12</v>
      </c>
      <c r="E7" t="s">
        <v>13</v>
      </c>
      <c r="I7" t="str">
        <f t="shared" si="2"/>
        <v>pard200_1</v>
      </c>
      <c r="J7">
        <v>12</v>
      </c>
      <c r="K7">
        <f t="shared" si="0"/>
        <v>178.016528844833</v>
      </c>
      <c r="L7">
        <f t="shared" si="1"/>
        <v>101</v>
      </c>
    </row>
    <row r="8" spans="1:12" x14ac:dyDescent="0.2">
      <c r="A8" t="s">
        <v>20</v>
      </c>
      <c r="B8">
        <v>10</v>
      </c>
      <c r="C8" t="s">
        <v>32</v>
      </c>
      <c r="D8" t="s">
        <v>16</v>
      </c>
      <c r="E8">
        <v>600.01208996772698</v>
      </c>
      <c r="F8">
        <v>172</v>
      </c>
      <c r="I8" t="str">
        <f t="shared" si="2"/>
        <v>pard200_1</v>
      </c>
      <c r="J8">
        <v>200</v>
      </c>
      <c r="K8">
        <f t="shared" si="0"/>
        <v>600.00663495063702</v>
      </c>
      <c r="L8">
        <f t="shared" si="1"/>
        <v>307</v>
      </c>
    </row>
    <row r="9" spans="1:12" x14ac:dyDescent="0.2">
      <c r="A9" t="s">
        <v>0</v>
      </c>
      <c r="B9" t="s">
        <v>10</v>
      </c>
      <c r="C9" t="s">
        <v>11</v>
      </c>
      <c r="D9" t="s">
        <v>12</v>
      </c>
      <c r="E9" t="s">
        <v>13</v>
      </c>
      <c r="I9" t="str">
        <f>CONCATENATE($I$1,"2")</f>
        <v>pard200_2</v>
      </c>
      <c r="J9">
        <v>6</v>
      </c>
      <c r="K9">
        <f t="shared" si="0"/>
        <v>80.618862867355304</v>
      </c>
      <c r="L9">
        <f t="shared" si="1"/>
        <v>35</v>
      </c>
    </row>
    <row r="10" spans="1:12" x14ac:dyDescent="0.2">
      <c r="A10" t="s">
        <v>21</v>
      </c>
      <c r="B10">
        <v>10</v>
      </c>
      <c r="C10" t="s">
        <v>32</v>
      </c>
      <c r="D10" t="s">
        <v>16</v>
      </c>
      <c r="E10">
        <v>266.89129900932301</v>
      </c>
      <c r="F10">
        <v>92</v>
      </c>
      <c r="I10" t="str">
        <f t="shared" ref="I10:I13" si="3">CONCATENATE($I$1,"2")</f>
        <v>pard200_2</v>
      </c>
      <c r="J10">
        <v>8</v>
      </c>
      <c r="K10">
        <f t="shared" si="0"/>
        <v>216.304405212402</v>
      </c>
      <c r="L10">
        <f t="shared" si="1"/>
        <v>84</v>
      </c>
    </row>
    <row r="11" spans="1:12" x14ac:dyDescent="0.2">
      <c r="A11" t="s">
        <v>0</v>
      </c>
      <c r="B11" t="s">
        <v>10</v>
      </c>
      <c r="C11" t="s">
        <v>11</v>
      </c>
      <c r="D11" t="s">
        <v>12</v>
      </c>
      <c r="E11" t="s">
        <v>13</v>
      </c>
      <c r="I11" t="str">
        <f t="shared" si="3"/>
        <v>pard200_2</v>
      </c>
      <c r="J11">
        <v>10</v>
      </c>
      <c r="K11">
        <f t="shared" si="0"/>
        <v>600.00116896629299</v>
      </c>
      <c r="L11">
        <f t="shared" si="1"/>
        <v>180</v>
      </c>
    </row>
    <row r="12" spans="1:12" x14ac:dyDescent="0.2">
      <c r="A12" t="s">
        <v>22</v>
      </c>
      <c r="B12">
        <v>10</v>
      </c>
      <c r="C12" t="s">
        <v>32</v>
      </c>
      <c r="D12" t="s">
        <v>16</v>
      </c>
      <c r="E12">
        <v>346.815029144287</v>
      </c>
      <c r="F12">
        <v>130</v>
      </c>
      <c r="I12" t="str">
        <f t="shared" si="3"/>
        <v>pard200_2</v>
      </c>
      <c r="J12">
        <v>12</v>
      </c>
      <c r="K12">
        <f t="shared" si="0"/>
        <v>600.00908899307206</v>
      </c>
      <c r="L12">
        <f t="shared" si="1"/>
        <v>204</v>
      </c>
    </row>
    <row r="13" spans="1:12" x14ac:dyDescent="0.2">
      <c r="A13" t="s">
        <v>0</v>
      </c>
      <c r="B13" t="s">
        <v>10</v>
      </c>
      <c r="C13" t="s">
        <v>11</v>
      </c>
      <c r="D13" t="s">
        <v>12</v>
      </c>
      <c r="E13" t="s">
        <v>13</v>
      </c>
      <c r="I13" t="str">
        <f t="shared" si="3"/>
        <v>pard200_2</v>
      </c>
      <c r="J13">
        <v>200</v>
      </c>
      <c r="K13">
        <f t="shared" si="0"/>
        <v>600.00725603103604</v>
      </c>
      <c r="L13">
        <f t="shared" si="1"/>
        <v>306</v>
      </c>
    </row>
    <row r="14" spans="1:12" x14ac:dyDescent="0.2">
      <c r="A14" t="s">
        <v>23</v>
      </c>
      <c r="B14">
        <v>10</v>
      </c>
      <c r="C14" t="s">
        <v>15</v>
      </c>
      <c r="D14" t="s">
        <v>16</v>
      </c>
      <c r="E14">
        <v>279.40565299987702</v>
      </c>
      <c r="F14">
        <v>89</v>
      </c>
      <c r="I14" t="str">
        <f>CONCATENATE($I$1,"3")</f>
        <v>pard200_3</v>
      </c>
      <c r="J14">
        <v>6</v>
      </c>
      <c r="K14">
        <f t="shared" si="0"/>
        <v>356.642158031463</v>
      </c>
      <c r="L14">
        <f t="shared" si="1"/>
        <v>127</v>
      </c>
    </row>
    <row r="15" spans="1:12" x14ac:dyDescent="0.2">
      <c r="A15" t="s">
        <v>0</v>
      </c>
      <c r="B15" t="s">
        <v>10</v>
      </c>
      <c r="C15" t="s">
        <v>11</v>
      </c>
      <c r="D15" t="s">
        <v>12</v>
      </c>
      <c r="E15" t="s">
        <v>13</v>
      </c>
      <c r="I15" t="str">
        <f t="shared" ref="I15:I18" si="4">CONCATENATE($I$1,"3")</f>
        <v>pard200_3</v>
      </c>
      <c r="J15">
        <v>8</v>
      </c>
      <c r="K15">
        <f t="shared" si="0"/>
        <v>206.600394010543</v>
      </c>
      <c r="L15">
        <f t="shared" si="1"/>
        <v>79</v>
      </c>
    </row>
    <row r="16" spans="1:12" x14ac:dyDescent="0.2">
      <c r="A16" t="s">
        <v>24</v>
      </c>
      <c r="B16">
        <v>10</v>
      </c>
      <c r="C16" t="s">
        <v>15</v>
      </c>
      <c r="D16" t="s">
        <v>16</v>
      </c>
      <c r="E16">
        <v>93.335930109024005</v>
      </c>
      <c r="F16">
        <v>37</v>
      </c>
      <c r="I16" t="str">
        <f t="shared" si="4"/>
        <v>pard200_3</v>
      </c>
      <c r="J16">
        <v>10</v>
      </c>
      <c r="K16">
        <f t="shared" si="0"/>
        <v>479.53995800018299</v>
      </c>
      <c r="L16">
        <f t="shared" si="1"/>
        <v>136</v>
      </c>
    </row>
    <row r="17" spans="1:12" x14ac:dyDescent="0.2">
      <c r="A17" t="s">
        <v>0</v>
      </c>
      <c r="B17" t="s">
        <v>10</v>
      </c>
      <c r="C17" t="s">
        <v>11</v>
      </c>
      <c r="D17" t="s">
        <v>12</v>
      </c>
      <c r="E17" t="s">
        <v>13</v>
      </c>
      <c r="I17" t="str">
        <f t="shared" si="4"/>
        <v>pard200_3</v>
      </c>
      <c r="J17">
        <v>12</v>
      </c>
      <c r="K17">
        <f t="shared" si="0"/>
        <v>600.02036094665505</v>
      </c>
      <c r="L17">
        <f t="shared" si="1"/>
        <v>252</v>
      </c>
    </row>
    <row r="18" spans="1:12" x14ac:dyDescent="0.2">
      <c r="A18" t="s">
        <v>25</v>
      </c>
      <c r="B18">
        <v>10</v>
      </c>
      <c r="C18" t="s">
        <v>15</v>
      </c>
      <c r="D18" t="s">
        <v>16</v>
      </c>
      <c r="E18">
        <v>276.31533122062598</v>
      </c>
      <c r="F18">
        <v>87</v>
      </c>
      <c r="I18" t="str">
        <f t="shared" si="4"/>
        <v>pard200_3</v>
      </c>
      <c r="J18">
        <v>200</v>
      </c>
      <c r="K18">
        <f t="shared" si="0"/>
        <v>600.00182890891995</v>
      </c>
      <c r="L18">
        <f t="shared" si="1"/>
        <v>291</v>
      </c>
    </row>
    <row r="19" spans="1:12" x14ac:dyDescent="0.2">
      <c r="A19" t="s">
        <v>0</v>
      </c>
      <c r="B19" t="s">
        <v>10</v>
      </c>
      <c r="C19" t="s">
        <v>11</v>
      </c>
      <c r="D19" t="s">
        <v>12</v>
      </c>
      <c r="E19" t="s">
        <v>13</v>
      </c>
      <c r="I19" t="str">
        <f>CONCATENATE($I$1,"4")</f>
        <v>pard200_4</v>
      </c>
      <c r="J19">
        <v>6</v>
      </c>
      <c r="K19">
        <f t="shared" si="0"/>
        <v>600.00319194793701</v>
      </c>
      <c r="L19">
        <f t="shared" si="1"/>
        <v>204</v>
      </c>
    </row>
    <row r="20" spans="1:12" x14ac:dyDescent="0.2">
      <c r="A20" t="s">
        <v>26</v>
      </c>
      <c r="B20">
        <v>10</v>
      </c>
      <c r="C20" t="s">
        <v>15</v>
      </c>
      <c r="D20" t="s">
        <v>16</v>
      </c>
      <c r="E20">
        <v>600.00688505172695</v>
      </c>
      <c r="F20">
        <v>170</v>
      </c>
      <c r="I20" t="str">
        <f t="shared" ref="I20:I23" si="5">CONCATENATE($I$1,"4")</f>
        <v>pard200_4</v>
      </c>
      <c r="J20">
        <v>8</v>
      </c>
      <c r="K20">
        <f t="shared" si="0"/>
        <v>600.00791406631402</v>
      </c>
      <c r="L20">
        <f t="shared" si="1"/>
        <v>190</v>
      </c>
    </row>
    <row r="21" spans="1:12" x14ac:dyDescent="0.2">
      <c r="A21" t="s">
        <v>0</v>
      </c>
      <c r="B21" t="s">
        <v>10</v>
      </c>
      <c r="C21" t="s">
        <v>11</v>
      </c>
      <c r="D21" t="s">
        <v>12</v>
      </c>
      <c r="E21" t="s">
        <v>13</v>
      </c>
      <c r="I21" t="str">
        <f t="shared" si="5"/>
        <v>pard200_4</v>
      </c>
      <c r="J21">
        <v>10</v>
      </c>
      <c r="K21">
        <f t="shared" si="0"/>
        <v>600.01208996772698</v>
      </c>
      <c r="L21">
        <f t="shared" si="1"/>
        <v>172</v>
      </c>
    </row>
    <row r="22" spans="1:12" x14ac:dyDescent="0.2">
      <c r="A22" t="s">
        <v>14</v>
      </c>
      <c r="B22">
        <v>6</v>
      </c>
      <c r="C22" t="s">
        <v>32</v>
      </c>
      <c r="D22" t="s">
        <v>16</v>
      </c>
      <c r="E22">
        <v>98.822993993759098</v>
      </c>
      <c r="F22">
        <v>33</v>
      </c>
      <c r="I22" t="str">
        <f t="shared" si="5"/>
        <v>pard200_4</v>
      </c>
      <c r="J22">
        <v>12</v>
      </c>
      <c r="K22">
        <f t="shared" si="0"/>
        <v>600.00748205184902</v>
      </c>
      <c r="L22">
        <f t="shared" si="1"/>
        <v>388</v>
      </c>
    </row>
    <row r="23" spans="1:12" x14ac:dyDescent="0.2">
      <c r="A23" t="s">
        <v>0</v>
      </c>
      <c r="B23" t="s">
        <v>10</v>
      </c>
      <c r="C23" t="s">
        <v>11</v>
      </c>
      <c r="D23" t="s">
        <v>12</v>
      </c>
      <c r="E23" t="s">
        <v>13</v>
      </c>
      <c r="I23" t="str">
        <f t="shared" si="5"/>
        <v>pard200_4</v>
      </c>
      <c r="J23">
        <v>200</v>
      </c>
      <c r="K23">
        <f t="shared" si="0"/>
        <v>600.00232911109902</v>
      </c>
      <c r="L23">
        <f t="shared" si="1"/>
        <v>393</v>
      </c>
    </row>
    <row r="24" spans="1:12" x14ac:dyDescent="0.2">
      <c r="A24" t="s">
        <v>14</v>
      </c>
      <c r="B24">
        <v>8</v>
      </c>
      <c r="C24" t="s">
        <v>32</v>
      </c>
      <c r="D24" t="s">
        <v>16</v>
      </c>
      <c r="E24">
        <v>139.124500036239</v>
      </c>
      <c r="F24">
        <v>39</v>
      </c>
      <c r="I24" t="str">
        <f>CONCATENATE($I$1,"5")</f>
        <v>pard200_5</v>
      </c>
      <c r="J24">
        <v>6</v>
      </c>
      <c r="K24">
        <f t="shared" si="0"/>
        <v>71.862965106964097</v>
      </c>
      <c r="L24">
        <f t="shared" si="1"/>
        <v>31</v>
      </c>
    </row>
    <row r="25" spans="1:12" x14ac:dyDescent="0.2">
      <c r="A25" t="s">
        <v>0</v>
      </c>
      <c r="B25" t="s">
        <v>10</v>
      </c>
      <c r="C25" t="s">
        <v>11</v>
      </c>
      <c r="D25" t="s">
        <v>12</v>
      </c>
      <c r="E25" t="s">
        <v>13</v>
      </c>
      <c r="I25" t="str">
        <f t="shared" ref="I25:I28" si="6">CONCATENATE($I$1,"5")</f>
        <v>pard200_5</v>
      </c>
      <c r="J25">
        <v>8</v>
      </c>
      <c r="K25">
        <f t="shared" si="0"/>
        <v>94.347097158432007</v>
      </c>
      <c r="L25">
        <f t="shared" si="1"/>
        <v>36</v>
      </c>
    </row>
    <row r="26" spans="1:12" x14ac:dyDescent="0.2">
      <c r="A26" t="s">
        <v>14</v>
      </c>
      <c r="B26">
        <v>12</v>
      </c>
      <c r="C26" t="s">
        <v>32</v>
      </c>
      <c r="D26" t="s">
        <v>16</v>
      </c>
      <c r="E26">
        <v>178.016528844833</v>
      </c>
      <c r="F26">
        <v>101</v>
      </c>
      <c r="I26" t="str">
        <f t="shared" si="6"/>
        <v>pard200_5</v>
      </c>
      <c r="J26">
        <v>10</v>
      </c>
      <c r="K26">
        <f t="shared" si="0"/>
        <v>266.89129900932301</v>
      </c>
      <c r="L26">
        <f t="shared" si="1"/>
        <v>92</v>
      </c>
    </row>
    <row r="27" spans="1:12" x14ac:dyDescent="0.2">
      <c r="A27" t="s">
        <v>0</v>
      </c>
      <c r="B27" t="s">
        <v>10</v>
      </c>
      <c r="C27" t="s">
        <v>11</v>
      </c>
      <c r="D27" t="s">
        <v>12</v>
      </c>
      <c r="E27" t="s">
        <v>13</v>
      </c>
      <c r="I27" t="str">
        <f t="shared" si="6"/>
        <v>pard200_5</v>
      </c>
      <c r="J27">
        <v>12</v>
      </c>
      <c r="K27">
        <f t="shared" si="0"/>
        <v>600.00600790977398</v>
      </c>
      <c r="L27">
        <f t="shared" si="1"/>
        <v>280</v>
      </c>
    </row>
    <row r="28" spans="1:12" x14ac:dyDescent="0.2">
      <c r="A28" t="s">
        <v>18</v>
      </c>
      <c r="B28">
        <v>6</v>
      </c>
      <c r="C28" t="s">
        <v>32</v>
      </c>
      <c r="D28" t="s">
        <v>16</v>
      </c>
      <c r="E28">
        <v>80.618862867355304</v>
      </c>
      <c r="F28">
        <v>35</v>
      </c>
      <c r="I28" t="str">
        <f t="shared" si="6"/>
        <v>pard200_5</v>
      </c>
      <c r="J28">
        <v>200</v>
      </c>
      <c r="K28">
        <f t="shared" si="0"/>
        <v>600.01039695739701</v>
      </c>
      <c r="L28">
        <f t="shared" si="1"/>
        <v>299</v>
      </c>
    </row>
    <row r="29" spans="1:12" x14ac:dyDescent="0.2">
      <c r="A29" t="s">
        <v>0</v>
      </c>
      <c r="B29" t="s">
        <v>10</v>
      </c>
      <c r="C29" t="s">
        <v>11</v>
      </c>
      <c r="D29" t="s">
        <v>12</v>
      </c>
      <c r="E29" t="s">
        <v>13</v>
      </c>
      <c r="I29" t="str">
        <f>CONCATENATE($I$1,"6")</f>
        <v>pard200_6</v>
      </c>
      <c r="J29">
        <v>6</v>
      </c>
      <c r="K29">
        <f t="shared" si="0"/>
        <v>560.44318389892499</v>
      </c>
      <c r="L29">
        <f t="shared" si="1"/>
        <v>199</v>
      </c>
    </row>
    <row r="30" spans="1:12" x14ac:dyDescent="0.2">
      <c r="A30" t="s">
        <v>18</v>
      </c>
      <c r="B30">
        <v>8</v>
      </c>
      <c r="C30" t="s">
        <v>32</v>
      </c>
      <c r="D30" t="s">
        <v>16</v>
      </c>
      <c r="E30">
        <v>216.304405212402</v>
      </c>
      <c r="F30">
        <v>84</v>
      </c>
      <c r="I30" t="str">
        <f t="shared" ref="I30:I33" si="7">CONCATENATE($I$1,"6")</f>
        <v>pard200_6</v>
      </c>
      <c r="J30">
        <v>8</v>
      </c>
      <c r="K30">
        <f t="shared" si="0"/>
        <v>473.25517392158503</v>
      </c>
      <c r="L30">
        <f t="shared" si="1"/>
        <v>161</v>
      </c>
    </row>
    <row r="31" spans="1:12" x14ac:dyDescent="0.2">
      <c r="A31" t="s">
        <v>0</v>
      </c>
      <c r="B31" t="s">
        <v>10</v>
      </c>
      <c r="C31" t="s">
        <v>11</v>
      </c>
      <c r="D31" t="s">
        <v>12</v>
      </c>
      <c r="E31" t="s">
        <v>13</v>
      </c>
      <c r="I31" t="str">
        <f t="shared" si="7"/>
        <v>pard200_6</v>
      </c>
      <c r="J31">
        <v>10</v>
      </c>
      <c r="K31">
        <f t="shared" si="0"/>
        <v>346.815029144287</v>
      </c>
      <c r="L31">
        <f t="shared" si="1"/>
        <v>130</v>
      </c>
    </row>
    <row r="32" spans="1:12" x14ac:dyDescent="0.2">
      <c r="A32" t="s">
        <v>18</v>
      </c>
      <c r="B32">
        <v>12</v>
      </c>
      <c r="C32" t="s">
        <v>32</v>
      </c>
      <c r="D32" t="s">
        <v>16</v>
      </c>
      <c r="E32">
        <v>600.00908899307206</v>
      </c>
      <c r="F32">
        <v>204</v>
      </c>
      <c r="I32" t="str">
        <f t="shared" si="7"/>
        <v>pard200_6</v>
      </c>
      <c r="J32">
        <v>12</v>
      </c>
      <c r="K32">
        <f t="shared" si="0"/>
        <v>555.34329795837402</v>
      </c>
      <c r="L32">
        <f t="shared" si="1"/>
        <v>299</v>
      </c>
    </row>
    <row r="33" spans="1:12" x14ac:dyDescent="0.2">
      <c r="A33" t="s">
        <v>0</v>
      </c>
      <c r="B33" t="s">
        <v>10</v>
      </c>
      <c r="C33" t="s">
        <v>11</v>
      </c>
      <c r="D33" t="s">
        <v>12</v>
      </c>
      <c r="E33" t="s">
        <v>13</v>
      </c>
      <c r="I33" t="str">
        <f t="shared" si="7"/>
        <v>pard200_6</v>
      </c>
      <c r="J33">
        <v>200</v>
      </c>
      <c r="K33">
        <f t="shared" si="0"/>
        <v>600.00584101676895</v>
      </c>
      <c r="L33">
        <f t="shared" si="1"/>
        <v>409</v>
      </c>
    </row>
    <row r="34" spans="1:12" x14ac:dyDescent="0.2">
      <c r="A34" t="s">
        <v>19</v>
      </c>
      <c r="B34">
        <v>6</v>
      </c>
      <c r="C34" t="s">
        <v>32</v>
      </c>
      <c r="D34" t="s">
        <v>16</v>
      </c>
      <c r="E34">
        <v>356.642158031463</v>
      </c>
      <c r="F34">
        <v>127</v>
      </c>
      <c r="I34" t="str">
        <f>CONCATENATE($I$1,"7")</f>
        <v>pard200_7</v>
      </c>
      <c r="J34">
        <v>6</v>
      </c>
      <c r="K34">
        <f t="shared" si="0"/>
        <v>275.48678088188097</v>
      </c>
      <c r="L34">
        <f t="shared" si="1"/>
        <v>105</v>
      </c>
    </row>
    <row r="35" spans="1:12" x14ac:dyDescent="0.2">
      <c r="A35" t="s">
        <v>0</v>
      </c>
      <c r="B35" t="s">
        <v>10</v>
      </c>
      <c r="C35" t="s">
        <v>11</v>
      </c>
      <c r="D35" t="s">
        <v>12</v>
      </c>
      <c r="E35" t="s">
        <v>13</v>
      </c>
      <c r="I35" t="str">
        <f t="shared" ref="I35:I38" si="8">CONCATENATE($I$1,"7")</f>
        <v>pard200_7</v>
      </c>
      <c r="J35">
        <v>8</v>
      </c>
      <c r="K35">
        <f t="shared" si="0"/>
        <v>213.800117015838</v>
      </c>
      <c r="L35">
        <f t="shared" si="1"/>
        <v>100</v>
      </c>
    </row>
    <row r="36" spans="1:12" x14ac:dyDescent="0.2">
      <c r="A36" t="s">
        <v>19</v>
      </c>
      <c r="B36">
        <v>8</v>
      </c>
      <c r="C36" t="s">
        <v>32</v>
      </c>
      <c r="D36" t="s">
        <v>16</v>
      </c>
      <c r="E36">
        <v>206.600394010543</v>
      </c>
      <c r="F36">
        <v>79</v>
      </c>
      <c r="I36" t="str">
        <f t="shared" si="8"/>
        <v>pard200_7</v>
      </c>
      <c r="J36">
        <v>10</v>
      </c>
      <c r="K36">
        <f t="shared" ref="K36:K53" si="9">SUMIFS(E:E,A:A,I36,B:B,J36,D:D,"CPLEX MISOCP")</f>
        <v>279.40565299987702</v>
      </c>
      <c r="L36">
        <f t="shared" ref="L36:L53" si="10">SUMIFS(F:F,A:A,I36,B:B,J36,D:D,"CPLEX MISOCP")</f>
        <v>89</v>
      </c>
    </row>
    <row r="37" spans="1:12" x14ac:dyDescent="0.2">
      <c r="A37" t="s">
        <v>0</v>
      </c>
      <c r="B37" t="s">
        <v>10</v>
      </c>
      <c r="C37" t="s">
        <v>11</v>
      </c>
      <c r="D37" t="s">
        <v>12</v>
      </c>
      <c r="E37" t="s">
        <v>13</v>
      </c>
      <c r="I37" t="str">
        <f t="shared" si="8"/>
        <v>pard200_7</v>
      </c>
      <c r="J37">
        <v>12</v>
      </c>
      <c r="K37">
        <f t="shared" si="9"/>
        <v>600.01276397704999</v>
      </c>
      <c r="L37">
        <f t="shared" si="10"/>
        <v>360</v>
      </c>
    </row>
    <row r="38" spans="1:12" x14ac:dyDescent="0.2">
      <c r="A38" t="s">
        <v>19</v>
      </c>
      <c r="B38">
        <v>12</v>
      </c>
      <c r="C38" t="s">
        <v>32</v>
      </c>
      <c r="D38" t="s">
        <v>16</v>
      </c>
      <c r="E38">
        <v>600.02036094665505</v>
      </c>
      <c r="F38">
        <v>252</v>
      </c>
      <c r="I38" t="str">
        <f t="shared" si="8"/>
        <v>pard200_7</v>
      </c>
      <c r="J38">
        <v>200</v>
      </c>
      <c r="K38">
        <f t="shared" si="9"/>
        <v>600.00953507423401</v>
      </c>
      <c r="L38">
        <f t="shared" si="10"/>
        <v>408</v>
      </c>
    </row>
    <row r="39" spans="1:12" x14ac:dyDescent="0.2">
      <c r="A39" t="s">
        <v>0</v>
      </c>
      <c r="B39" t="s">
        <v>10</v>
      </c>
      <c r="C39" t="s">
        <v>11</v>
      </c>
      <c r="D39" t="s">
        <v>12</v>
      </c>
      <c r="E39" t="s">
        <v>13</v>
      </c>
      <c r="I39" t="str">
        <f>CONCATENATE($I$1,"8")</f>
        <v>pard200_8</v>
      </c>
      <c r="J39">
        <v>6</v>
      </c>
      <c r="K39">
        <f t="shared" si="9"/>
        <v>33.325829982757497</v>
      </c>
      <c r="L39">
        <f t="shared" si="10"/>
        <v>19</v>
      </c>
    </row>
    <row r="40" spans="1:12" x14ac:dyDescent="0.2">
      <c r="A40" t="s">
        <v>20</v>
      </c>
      <c r="B40">
        <v>6</v>
      </c>
      <c r="C40" t="s">
        <v>32</v>
      </c>
      <c r="D40" t="s">
        <v>16</v>
      </c>
      <c r="E40">
        <v>600.00319194793701</v>
      </c>
      <c r="F40">
        <v>204</v>
      </c>
      <c r="I40" t="str">
        <f t="shared" ref="I40:I43" si="11">CONCATENATE($I$1,"8")</f>
        <v>pard200_8</v>
      </c>
      <c r="J40">
        <v>8</v>
      </c>
      <c r="K40">
        <f t="shared" si="9"/>
        <v>148.22338294982899</v>
      </c>
      <c r="L40">
        <f t="shared" si="10"/>
        <v>72</v>
      </c>
    </row>
    <row r="41" spans="1:12" x14ac:dyDescent="0.2">
      <c r="A41" t="s">
        <v>0</v>
      </c>
      <c r="B41" t="s">
        <v>10</v>
      </c>
      <c r="C41" t="s">
        <v>11</v>
      </c>
      <c r="D41" t="s">
        <v>12</v>
      </c>
      <c r="E41" t="s">
        <v>13</v>
      </c>
      <c r="I41" t="str">
        <f t="shared" si="11"/>
        <v>pard200_8</v>
      </c>
      <c r="J41">
        <v>10</v>
      </c>
      <c r="K41">
        <f t="shared" si="9"/>
        <v>93.335930109024005</v>
      </c>
      <c r="L41">
        <f t="shared" si="10"/>
        <v>37</v>
      </c>
    </row>
    <row r="42" spans="1:12" x14ac:dyDescent="0.2">
      <c r="A42" t="s">
        <v>20</v>
      </c>
      <c r="B42">
        <v>8</v>
      </c>
      <c r="C42" t="s">
        <v>32</v>
      </c>
      <c r="D42" t="s">
        <v>16</v>
      </c>
      <c r="E42">
        <v>600.00791406631402</v>
      </c>
      <c r="F42">
        <v>190</v>
      </c>
      <c r="I42" t="str">
        <f t="shared" si="11"/>
        <v>pard200_8</v>
      </c>
      <c r="J42">
        <v>12</v>
      </c>
      <c r="K42">
        <f t="shared" si="9"/>
        <v>600.01150012016296</v>
      </c>
      <c r="L42">
        <f t="shared" si="10"/>
        <v>214</v>
      </c>
    </row>
    <row r="43" spans="1:12" x14ac:dyDescent="0.2">
      <c r="A43" t="s">
        <v>0</v>
      </c>
      <c r="B43" t="s">
        <v>10</v>
      </c>
      <c r="C43" t="s">
        <v>11</v>
      </c>
      <c r="D43" t="s">
        <v>12</v>
      </c>
      <c r="E43" t="s">
        <v>13</v>
      </c>
      <c r="I43" t="str">
        <f t="shared" si="11"/>
        <v>pard200_8</v>
      </c>
      <c r="J43">
        <v>200</v>
      </c>
      <c r="K43">
        <f t="shared" si="9"/>
        <v>600.00965690612702</v>
      </c>
      <c r="L43">
        <f t="shared" si="10"/>
        <v>360</v>
      </c>
    </row>
    <row r="44" spans="1:12" x14ac:dyDescent="0.2">
      <c r="A44" t="s">
        <v>20</v>
      </c>
      <c r="B44">
        <v>12</v>
      </c>
      <c r="C44" t="s">
        <v>32</v>
      </c>
      <c r="D44" t="s">
        <v>16</v>
      </c>
      <c r="E44">
        <v>600.00748205184902</v>
      </c>
      <c r="F44">
        <v>388</v>
      </c>
      <c r="I44" t="str">
        <f>CONCATENATE($I$1,"9")</f>
        <v>pard200_9</v>
      </c>
      <c r="J44">
        <v>6</v>
      </c>
      <c r="K44">
        <f t="shared" si="9"/>
        <v>266.483100891113</v>
      </c>
      <c r="L44">
        <f t="shared" si="10"/>
        <v>93</v>
      </c>
    </row>
    <row r="45" spans="1:12" x14ac:dyDescent="0.2">
      <c r="A45" t="s">
        <v>0</v>
      </c>
      <c r="B45" t="s">
        <v>10</v>
      </c>
      <c r="C45" t="s">
        <v>11</v>
      </c>
      <c r="D45" t="s">
        <v>12</v>
      </c>
      <c r="E45" t="s">
        <v>13</v>
      </c>
      <c r="I45" t="str">
        <f t="shared" ref="I45:I48" si="12">CONCATENATE($I$1,"9")</f>
        <v>pard200_9</v>
      </c>
      <c r="J45">
        <v>8</v>
      </c>
      <c r="K45">
        <f t="shared" si="9"/>
        <v>415.94798207282997</v>
      </c>
      <c r="L45">
        <f t="shared" si="10"/>
        <v>145</v>
      </c>
    </row>
    <row r="46" spans="1:12" x14ac:dyDescent="0.2">
      <c r="A46" t="s">
        <v>21</v>
      </c>
      <c r="B46">
        <v>6</v>
      </c>
      <c r="C46" t="s">
        <v>32</v>
      </c>
      <c r="D46" t="s">
        <v>16</v>
      </c>
      <c r="E46">
        <v>71.862965106964097</v>
      </c>
      <c r="F46">
        <v>31</v>
      </c>
      <c r="I46" t="str">
        <f t="shared" si="12"/>
        <v>pard200_9</v>
      </c>
      <c r="J46">
        <v>10</v>
      </c>
      <c r="K46">
        <f t="shared" si="9"/>
        <v>276.31533122062598</v>
      </c>
      <c r="L46">
        <f t="shared" si="10"/>
        <v>87</v>
      </c>
    </row>
    <row r="47" spans="1:12" x14ac:dyDescent="0.2">
      <c r="A47" t="s">
        <v>0</v>
      </c>
      <c r="B47" t="s">
        <v>10</v>
      </c>
      <c r="C47" t="s">
        <v>11</v>
      </c>
      <c r="D47" t="s">
        <v>12</v>
      </c>
      <c r="E47" t="s">
        <v>13</v>
      </c>
      <c r="I47" t="str">
        <f t="shared" si="12"/>
        <v>pard200_9</v>
      </c>
      <c r="J47">
        <v>12</v>
      </c>
      <c r="K47">
        <f t="shared" si="9"/>
        <v>74.776118993759098</v>
      </c>
      <c r="L47">
        <f t="shared" si="10"/>
        <v>31</v>
      </c>
    </row>
    <row r="48" spans="1:12" x14ac:dyDescent="0.2">
      <c r="A48" t="s">
        <v>21</v>
      </c>
      <c r="B48">
        <v>8</v>
      </c>
      <c r="C48" t="s">
        <v>32</v>
      </c>
      <c r="D48" t="s">
        <v>16</v>
      </c>
      <c r="E48">
        <v>94.347097158432007</v>
      </c>
      <c r="F48">
        <v>36</v>
      </c>
      <c r="I48" t="str">
        <f t="shared" si="12"/>
        <v>pard200_9</v>
      </c>
      <c r="J48">
        <v>200</v>
      </c>
      <c r="K48">
        <f t="shared" si="9"/>
        <v>600.00404119491498</v>
      </c>
      <c r="L48">
        <f t="shared" si="10"/>
        <v>248</v>
      </c>
    </row>
    <row r="49" spans="1:12" x14ac:dyDescent="0.2">
      <c r="A49" t="s">
        <v>0</v>
      </c>
      <c r="B49" t="s">
        <v>10</v>
      </c>
      <c r="C49" t="s">
        <v>11</v>
      </c>
      <c r="D49" t="s">
        <v>12</v>
      </c>
      <c r="E49" t="s">
        <v>13</v>
      </c>
      <c r="I49" t="str">
        <f>CONCATENATE($I$1,"10")</f>
        <v>pard200_10</v>
      </c>
      <c r="J49">
        <v>6</v>
      </c>
      <c r="K49">
        <f t="shared" si="9"/>
        <v>211.50376892089801</v>
      </c>
      <c r="L49">
        <f t="shared" si="10"/>
        <v>77</v>
      </c>
    </row>
    <row r="50" spans="1:12" x14ac:dyDescent="0.2">
      <c r="A50" t="s">
        <v>21</v>
      </c>
      <c r="B50">
        <v>12</v>
      </c>
      <c r="C50" t="s">
        <v>32</v>
      </c>
      <c r="D50" t="s">
        <v>16</v>
      </c>
      <c r="E50">
        <v>600.00600790977398</v>
      </c>
      <c r="F50">
        <v>280</v>
      </c>
      <c r="I50" t="str">
        <f t="shared" ref="I50:I53" si="13">CONCATENATE($I$1,"10")</f>
        <v>pard200_10</v>
      </c>
      <c r="J50">
        <v>8</v>
      </c>
      <c r="K50">
        <f t="shared" si="9"/>
        <v>214.85823106765699</v>
      </c>
      <c r="L50">
        <f t="shared" si="10"/>
        <v>78</v>
      </c>
    </row>
    <row r="51" spans="1:12" x14ac:dyDescent="0.2">
      <c r="A51" t="s">
        <v>0</v>
      </c>
      <c r="B51" t="s">
        <v>10</v>
      </c>
      <c r="C51" t="s">
        <v>11</v>
      </c>
      <c r="D51" t="s">
        <v>12</v>
      </c>
      <c r="E51" t="s">
        <v>13</v>
      </c>
      <c r="I51" t="str">
        <f t="shared" si="13"/>
        <v>pard200_10</v>
      </c>
      <c r="J51">
        <v>10</v>
      </c>
      <c r="K51">
        <f t="shared" si="9"/>
        <v>600.00688505172695</v>
      </c>
      <c r="L51">
        <f t="shared" si="10"/>
        <v>170</v>
      </c>
    </row>
    <row r="52" spans="1:12" x14ac:dyDescent="0.2">
      <c r="A52" t="s">
        <v>22</v>
      </c>
      <c r="B52">
        <v>6</v>
      </c>
      <c r="C52" t="s">
        <v>32</v>
      </c>
      <c r="D52" t="s">
        <v>16</v>
      </c>
      <c r="E52">
        <v>560.44318389892499</v>
      </c>
      <c r="F52">
        <v>199</v>
      </c>
      <c r="I52" t="str">
        <f t="shared" si="13"/>
        <v>pard200_10</v>
      </c>
      <c r="J52">
        <v>12</v>
      </c>
      <c r="K52">
        <f t="shared" si="9"/>
        <v>70.316525936126695</v>
      </c>
      <c r="L52">
        <f t="shared" si="10"/>
        <v>31</v>
      </c>
    </row>
    <row r="53" spans="1:12" x14ac:dyDescent="0.2">
      <c r="A53" t="s">
        <v>0</v>
      </c>
      <c r="B53" t="s">
        <v>10</v>
      </c>
      <c r="C53" t="s">
        <v>11</v>
      </c>
      <c r="D53" t="s">
        <v>12</v>
      </c>
      <c r="E53" t="s">
        <v>13</v>
      </c>
      <c r="I53" t="str">
        <f t="shared" si="13"/>
        <v>pard200_10</v>
      </c>
      <c r="J53">
        <v>200</v>
      </c>
      <c r="K53">
        <f t="shared" si="9"/>
        <v>600.00727200508095</v>
      </c>
      <c r="L53">
        <f t="shared" si="10"/>
        <v>300</v>
      </c>
    </row>
    <row r="54" spans="1:12" x14ac:dyDescent="0.2">
      <c r="A54" t="s">
        <v>22</v>
      </c>
      <c r="B54">
        <v>8</v>
      </c>
      <c r="C54" t="s">
        <v>32</v>
      </c>
      <c r="D54" t="s">
        <v>16</v>
      </c>
      <c r="E54">
        <v>473.25517392158503</v>
      </c>
      <c r="F54">
        <v>161</v>
      </c>
    </row>
    <row r="55" spans="1:12" x14ac:dyDescent="0.2">
      <c r="A55" t="s">
        <v>0</v>
      </c>
      <c r="B55" t="s">
        <v>10</v>
      </c>
      <c r="C55" t="s">
        <v>11</v>
      </c>
      <c r="D55" t="s">
        <v>12</v>
      </c>
      <c r="E55" t="s">
        <v>13</v>
      </c>
    </row>
    <row r="56" spans="1:12" x14ac:dyDescent="0.2">
      <c r="A56" t="s">
        <v>22</v>
      </c>
      <c r="B56">
        <v>12</v>
      </c>
      <c r="C56" t="s">
        <v>32</v>
      </c>
      <c r="D56" t="s">
        <v>16</v>
      </c>
      <c r="E56">
        <v>555.34329795837402</v>
      </c>
      <c r="F56">
        <v>299</v>
      </c>
    </row>
    <row r="57" spans="1:12" x14ac:dyDescent="0.2">
      <c r="A57" t="s">
        <v>0</v>
      </c>
      <c r="B57" t="s">
        <v>10</v>
      </c>
      <c r="C57" t="s">
        <v>11</v>
      </c>
      <c r="D57" t="s">
        <v>12</v>
      </c>
      <c r="E57" t="s">
        <v>13</v>
      </c>
    </row>
    <row r="58" spans="1:12" x14ac:dyDescent="0.2">
      <c r="A58" t="s">
        <v>23</v>
      </c>
      <c r="B58">
        <v>6</v>
      </c>
      <c r="C58" t="s">
        <v>32</v>
      </c>
      <c r="D58" t="s">
        <v>16</v>
      </c>
      <c r="E58">
        <v>275.48678088188097</v>
      </c>
      <c r="F58">
        <v>105</v>
      </c>
    </row>
    <row r="59" spans="1:12" x14ac:dyDescent="0.2">
      <c r="A59" t="s">
        <v>0</v>
      </c>
      <c r="B59" t="s">
        <v>10</v>
      </c>
      <c r="C59" t="s">
        <v>11</v>
      </c>
      <c r="D59" t="s">
        <v>12</v>
      </c>
      <c r="E59" t="s">
        <v>13</v>
      </c>
    </row>
    <row r="60" spans="1:12" x14ac:dyDescent="0.2">
      <c r="A60" t="s">
        <v>23</v>
      </c>
      <c r="B60">
        <v>8</v>
      </c>
      <c r="C60" t="s">
        <v>32</v>
      </c>
      <c r="D60" t="s">
        <v>16</v>
      </c>
      <c r="E60">
        <v>213.800117015838</v>
      </c>
      <c r="F60">
        <v>100</v>
      </c>
    </row>
    <row r="61" spans="1:12" x14ac:dyDescent="0.2">
      <c r="A61" t="s">
        <v>0</v>
      </c>
      <c r="B61" t="s">
        <v>10</v>
      </c>
      <c r="C61" t="s">
        <v>11</v>
      </c>
      <c r="D61" t="s">
        <v>12</v>
      </c>
      <c r="E61" t="s">
        <v>13</v>
      </c>
    </row>
    <row r="62" spans="1:12" x14ac:dyDescent="0.2">
      <c r="A62" t="s">
        <v>23</v>
      </c>
      <c r="B62">
        <v>12</v>
      </c>
      <c r="C62" t="s">
        <v>32</v>
      </c>
      <c r="D62" t="s">
        <v>16</v>
      </c>
      <c r="E62">
        <v>600.01276397704999</v>
      </c>
      <c r="F62">
        <v>360</v>
      </c>
    </row>
    <row r="63" spans="1:12" x14ac:dyDescent="0.2">
      <c r="A63" t="s">
        <v>0</v>
      </c>
      <c r="B63" t="s">
        <v>10</v>
      </c>
      <c r="C63" t="s">
        <v>11</v>
      </c>
      <c r="D63" t="s">
        <v>12</v>
      </c>
      <c r="E63" t="s">
        <v>13</v>
      </c>
    </row>
    <row r="64" spans="1:12" x14ac:dyDescent="0.2">
      <c r="A64" t="s">
        <v>24</v>
      </c>
      <c r="B64">
        <v>6</v>
      </c>
      <c r="C64" t="s">
        <v>32</v>
      </c>
      <c r="D64" t="s">
        <v>16</v>
      </c>
      <c r="E64">
        <v>33.325829982757497</v>
      </c>
      <c r="F64">
        <v>19</v>
      </c>
    </row>
    <row r="65" spans="1:6" x14ac:dyDescent="0.2">
      <c r="A65" t="s">
        <v>0</v>
      </c>
      <c r="B65" t="s">
        <v>10</v>
      </c>
      <c r="C65" t="s">
        <v>11</v>
      </c>
      <c r="D65" t="s">
        <v>12</v>
      </c>
      <c r="E65" t="s">
        <v>13</v>
      </c>
    </row>
    <row r="66" spans="1:6" x14ac:dyDescent="0.2">
      <c r="A66" t="s">
        <v>24</v>
      </c>
      <c r="B66">
        <v>8</v>
      </c>
      <c r="C66" t="s">
        <v>32</v>
      </c>
      <c r="D66" t="s">
        <v>16</v>
      </c>
      <c r="E66">
        <v>148.22338294982899</v>
      </c>
      <c r="F66">
        <v>72</v>
      </c>
    </row>
    <row r="67" spans="1:6" x14ac:dyDescent="0.2">
      <c r="A67" t="s">
        <v>0</v>
      </c>
      <c r="B67" t="s">
        <v>10</v>
      </c>
      <c r="C67" t="s">
        <v>11</v>
      </c>
      <c r="D67" t="s">
        <v>12</v>
      </c>
      <c r="E67" t="s">
        <v>13</v>
      </c>
    </row>
    <row r="68" spans="1:6" x14ac:dyDescent="0.2">
      <c r="A68" t="s">
        <v>24</v>
      </c>
      <c r="B68">
        <v>12</v>
      </c>
      <c r="C68" t="s">
        <v>32</v>
      </c>
      <c r="D68" t="s">
        <v>16</v>
      </c>
      <c r="E68">
        <v>600.01150012016296</v>
      </c>
      <c r="F68">
        <v>214</v>
      </c>
    </row>
    <row r="69" spans="1:6" x14ac:dyDescent="0.2">
      <c r="A69" t="s">
        <v>0</v>
      </c>
      <c r="B69" t="s">
        <v>10</v>
      </c>
      <c r="C69" t="s">
        <v>11</v>
      </c>
      <c r="D69" t="s">
        <v>12</v>
      </c>
      <c r="E69" t="s">
        <v>13</v>
      </c>
    </row>
    <row r="70" spans="1:6" x14ac:dyDescent="0.2">
      <c r="A70" t="s">
        <v>25</v>
      </c>
      <c r="B70">
        <v>6</v>
      </c>
      <c r="C70" t="s">
        <v>32</v>
      </c>
      <c r="D70" t="s">
        <v>16</v>
      </c>
      <c r="E70">
        <v>266.483100891113</v>
      </c>
      <c r="F70">
        <v>93</v>
      </c>
    </row>
    <row r="71" spans="1:6" x14ac:dyDescent="0.2">
      <c r="A71" t="s">
        <v>0</v>
      </c>
      <c r="B71" t="s">
        <v>10</v>
      </c>
      <c r="C71" t="s">
        <v>11</v>
      </c>
      <c r="D71" t="s">
        <v>12</v>
      </c>
      <c r="E71" t="s">
        <v>13</v>
      </c>
    </row>
    <row r="72" spans="1:6" x14ac:dyDescent="0.2">
      <c r="A72" t="s">
        <v>25</v>
      </c>
      <c r="B72">
        <v>8</v>
      </c>
      <c r="C72" t="s">
        <v>32</v>
      </c>
      <c r="D72" t="s">
        <v>16</v>
      </c>
      <c r="E72">
        <v>415.94798207282997</v>
      </c>
      <c r="F72">
        <v>145</v>
      </c>
    </row>
    <row r="73" spans="1:6" x14ac:dyDescent="0.2">
      <c r="A73" t="s">
        <v>0</v>
      </c>
      <c r="B73" t="s">
        <v>10</v>
      </c>
      <c r="C73" t="s">
        <v>11</v>
      </c>
      <c r="D73" t="s">
        <v>12</v>
      </c>
      <c r="E73" t="s">
        <v>13</v>
      </c>
    </row>
    <row r="74" spans="1:6" x14ac:dyDescent="0.2">
      <c r="A74" t="s">
        <v>25</v>
      </c>
      <c r="B74">
        <v>12</v>
      </c>
      <c r="C74" t="s">
        <v>32</v>
      </c>
      <c r="D74" t="s">
        <v>16</v>
      </c>
      <c r="E74">
        <v>74.776118993759098</v>
      </c>
      <c r="F74">
        <v>31</v>
      </c>
    </row>
    <row r="75" spans="1:6" x14ac:dyDescent="0.2">
      <c r="A75" t="s">
        <v>0</v>
      </c>
      <c r="B75" t="s">
        <v>10</v>
      </c>
      <c r="C75" t="s">
        <v>11</v>
      </c>
      <c r="D75" t="s">
        <v>12</v>
      </c>
      <c r="E75" t="s">
        <v>13</v>
      </c>
    </row>
    <row r="76" spans="1:6" x14ac:dyDescent="0.2">
      <c r="A76" t="s">
        <v>26</v>
      </c>
      <c r="B76">
        <v>6</v>
      </c>
      <c r="C76" t="s">
        <v>32</v>
      </c>
      <c r="D76" t="s">
        <v>16</v>
      </c>
      <c r="E76">
        <v>211.50376892089801</v>
      </c>
      <c r="F76">
        <v>77</v>
      </c>
    </row>
    <row r="77" spans="1:6" x14ac:dyDescent="0.2">
      <c r="A77" t="s">
        <v>0</v>
      </c>
      <c r="B77" t="s">
        <v>10</v>
      </c>
      <c r="C77" t="s">
        <v>11</v>
      </c>
      <c r="D77" t="s">
        <v>12</v>
      </c>
      <c r="E77" t="s">
        <v>13</v>
      </c>
    </row>
    <row r="78" spans="1:6" x14ac:dyDescent="0.2">
      <c r="A78" t="s">
        <v>26</v>
      </c>
      <c r="B78">
        <v>8</v>
      </c>
      <c r="C78" t="s">
        <v>32</v>
      </c>
      <c r="D78" t="s">
        <v>16</v>
      </c>
      <c r="E78">
        <v>214.85823106765699</v>
      </c>
      <c r="F78">
        <v>78</v>
      </c>
    </row>
    <row r="79" spans="1:6" x14ac:dyDescent="0.2">
      <c r="A79" t="s">
        <v>0</v>
      </c>
      <c r="B79" t="s">
        <v>10</v>
      </c>
      <c r="C79" t="s">
        <v>11</v>
      </c>
      <c r="D79" t="s">
        <v>12</v>
      </c>
      <c r="E79" t="s">
        <v>13</v>
      </c>
    </row>
    <row r="80" spans="1:6" x14ac:dyDescent="0.2">
      <c r="A80" t="s">
        <v>26</v>
      </c>
      <c r="B80">
        <v>12</v>
      </c>
      <c r="C80" t="s">
        <v>32</v>
      </c>
      <c r="D80" t="s">
        <v>16</v>
      </c>
      <c r="E80">
        <v>70.316525936126695</v>
      </c>
      <c r="F80">
        <v>31</v>
      </c>
    </row>
    <row r="81" spans="1:6" x14ac:dyDescent="0.2">
      <c r="A81" t="s">
        <v>0</v>
      </c>
      <c r="B81" t="s">
        <v>10</v>
      </c>
      <c r="C81" t="s">
        <v>11</v>
      </c>
      <c r="D81" t="s">
        <v>12</v>
      </c>
      <c r="E81" t="s">
        <v>13</v>
      </c>
    </row>
    <row r="82" spans="1:6" x14ac:dyDescent="0.2">
      <c r="A82" t="s">
        <v>14</v>
      </c>
      <c r="B82">
        <v>200</v>
      </c>
      <c r="C82" t="s">
        <v>32</v>
      </c>
      <c r="D82" t="s">
        <v>16</v>
      </c>
      <c r="E82">
        <v>600.00663495063702</v>
      </c>
      <c r="F82">
        <v>307</v>
      </c>
    </row>
    <row r="83" spans="1:6" x14ac:dyDescent="0.2">
      <c r="A83" t="s">
        <v>0</v>
      </c>
      <c r="B83" t="s">
        <v>10</v>
      </c>
      <c r="C83" t="s">
        <v>11</v>
      </c>
      <c r="D83" t="s">
        <v>12</v>
      </c>
      <c r="E83" t="s">
        <v>13</v>
      </c>
    </row>
    <row r="84" spans="1:6" x14ac:dyDescent="0.2">
      <c r="A84" t="s">
        <v>18</v>
      </c>
      <c r="B84">
        <v>200</v>
      </c>
      <c r="C84" t="s">
        <v>32</v>
      </c>
      <c r="D84" t="s">
        <v>16</v>
      </c>
      <c r="E84">
        <v>600.00725603103604</v>
      </c>
      <c r="F84">
        <v>306</v>
      </c>
    </row>
    <row r="85" spans="1:6" x14ac:dyDescent="0.2">
      <c r="A85" t="s">
        <v>0</v>
      </c>
      <c r="B85" t="s">
        <v>10</v>
      </c>
      <c r="C85" t="s">
        <v>11</v>
      </c>
      <c r="D85" t="s">
        <v>12</v>
      </c>
      <c r="E85" t="s">
        <v>13</v>
      </c>
    </row>
    <row r="86" spans="1:6" x14ac:dyDescent="0.2">
      <c r="A86" t="s">
        <v>19</v>
      </c>
      <c r="B86">
        <v>200</v>
      </c>
      <c r="C86" t="s">
        <v>32</v>
      </c>
      <c r="D86" t="s">
        <v>16</v>
      </c>
      <c r="E86">
        <v>600.00182890891995</v>
      </c>
      <c r="F86">
        <v>291</v>
      </c>
    </row>
    <row r="87" spans="1:6" x14ac:dyDescent="0.2">
      <c r="A87" t="s">
        <v>0</v>
      </c>
      <c r="B87" t="s">
        <v>10</v>
      </c>
      <c r="C87" t="s">
        <v>11</v>
      </c>
      <c r="D87" t="s">
        <v>12</v>
      </c>
      <c r="E87" t="s">
        <v>13</v>
      </c>
    </row>
    <row r="88" spans="1:6" x14ac:dyDescent="0.2">
      <c r="A88" t="s">
        <v>20</v>
      </c>
      <c r="B88">
        <v>200</v>
      </c>
      <c r="C88" t="s">
        <v>32</v>
      </c>
      <c r="D88" t="s">
        <v>16</v>
      </c>
      <c r="E88">
        <v>600.00232911109902</v>
      </c>
      <c r="F88">
        <v>393</v>
      </c>
    </row>
    <row r="89" spans="1:6" x14ac:dyDescent="0.2">
      <c r="A89" t="s">
        <v>0</v>
      </c>
      <c r="B89" t="s">
        <v>10</v>
      </c>
      <c r="C89" t="s">
        <v>11</v>
      </c>
      <c r="D89" t="s">
        <v>12</v>
      </c>
      <c r="E89" t="s">
        <v>13</v>
      </c>
    </row>
    <row r="90" spans="1:6" x14ac:dyDescent="0.2">
      <c r="A90" t="s">
        <v>21</v>
      </c>
      <c r="B90">
        <v>200</v>
      </c>
      <c r="C90" t="s">
        <v>32</v>
      </c>
      <c r="D90" t="s">
        <v>16</v>
      </c>
      <c r="E90">
        <v>600.01039695739701</v>
      </c>
      <c r="F90">
        <v>299</v>
      </c>
    </row>
    <row r="91" spans="1:6" x14ac:dyDescent="0.2">
      <c r="A91" t="s">
        <v>0</v>
      </c>
      <c r="B91" t="s">
        <v>10</v>
      </c>
      <c r="C91" t="s">
        <v>11</v>
      </c>
      <c r="D91" t="s">
        <v>12</v>
      </c>
      <c r="E91" t="s">
        <v>13</v>
      </c>
    </row>
    <row r="92" spans="1:6" x14ac:dyDescent="0.2">
      <c r="A92" t="s">
        <v>22</v>
      </c>
      <c r="B92">
        <v>200</v>
      </c>
      <c r="C92" t="s">
        <v>32</v>
      </c>
      <c r="D92" t="s">
        <v>16</v>
      </c>
      <c r="E92">
        <v>600.00584101676895</v>
      </c>
      <c r="F92">
        <v>409</v>
      </c>
    </row>
    <row r="93" spans="1:6" x14ac:dyDescent="0.2">
      <c r="A93" t="s">
        <v>0</v>
      </c>
      <c r="B93" t="s">
        <v>10</v>
      </c>
      <c r="C93" t="s">
        <v>11</v>
      </c>
      <c r="D93" t="s">
        <v>12</v>
      </c>
      <c r="E93" t="s">
        <v>13</v>
      </c>
    </row>
    <row r="94" spans="1:6" x14ac:dyDescent="0.2">
      <c r="A94" t="s">
        <v>23</v>
      </c>
      <c r="B94">
        <v>200</v>
      </c>
      <c r="C94" t="s">
        <v>32</v>
      </c>
      <c r="D94" t="s">
        <v>16</v>
      </c>
      <c r="E94">
        <v>600.00953507423401</v>
      </c>
      <c r="F94">
        <v>408</v>
      </c>
    </row>
    <row r="95" spans="1:6" x14ac:dyDescent="0.2">
      <c r="A95" t="s">
        <v>0</v>
      </c>
      <c r="B95" t="s">
        <v>10</v>
      </c>
      <c r="C95" t="s">
        <v>11</v>
      </c>
      <c r="D95" t="s">
        <v>12</v>
      </c>
      <c r="E95" t="s">
        <v>13</v>
      </c>
    </row>
    <row r="96" spans="1:6" x14ac:dyDescent="0.2">
      <c r="A96" t="s">
        <v>24</v>
      </c>
      <c r="B96">
        <v>200</v>
      </c>
      <c r="C96" t="s">
        <v>32</v>
      </c>
      <c r="D96" t="s">
        <v>16</v>
      </c>
      <c r="E96">
        <v>600.00965690612702</v>
      </c>
      <c r="F96">
        <v>360</v>
      </c>
    </row>
    <row r="97" spans="1:6" x14ac:dyDescent="0.2">
      <c r="A97" t="s">
        <v>0</v>
      </c>
      <c r="B97" t="s">
        <v>10</v>
      </c>
      <c r="C97" t="s">
        <v>11</v>
      </c>
      <c r="D97" t="s">
        <v>12</v>
      </c>
      <c r="E97" t="s">
        <v>13</v>
      </c>
    </row>
    <row r="98" spans="1:6" x14ac:dyDescent="0.2">
      <c r="A98" t="s">
        <v>25</v>
      </c>
      <c r="B98">
        <v>200</v>
      </c>
      <c r="C98" t="s">
        <v>32</v>
      </c>
      <c r="D98" t="s">
        <v>16</v>
      </c>
      <c r="E98">
        <v>600.00404119491498</v>
      </c>
      <c r="F98">
        <v>248</v>
      </c>
    </row>
    <row r="99" spans="1:6" x14ac:dyDescent="0.2">
      <c r="A99" t="s">
        <v>0</v>
      </c>
      <c r="B99" t="s">
        <v>10</v>
      </c>
      <c r="C99" t="s">
        <v>11</v>
      </c>
      <c r="D99" t="s">
        <v>12</v>
      </c>
      <c r="E99" t="s">
        <v>13</v>
      </c>
    </row>
    <row r="100" spans="1:6" x14ac:dyDescent="0.2">
      <c r="A100" t="s">
        <v>26</v>
      </c>
      <c r="B100">
        <v>200</v>
      </c>
      <c r="C100" t="s">
        <v>32</v>
      </c>
      <c r="D100" t="s">
        <v>16</v>
      </c>
      <c r="E100">
        <v>600.00727200508095</v>
      </c>
      <c r="F100">
        <v>300</v>
      </c>
    </row>
  </sheetData>
  <sortState xmlns:xlrd2="http://schemas.microsoft.com/office/spreadsheetml/2017/richdata2" ref="A2:G76">
    <sortCondition ref="D2:D76"/>
    <sortCondition ref="A2:A76"/>
    <sortCondition ref="B2:B76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EE5A-55F5-524A-ACDF-27971E85AB88}">
  <dimension ref="A1:Q100"/>
  <sheetViews>
    <sheetView workbookViewId="0"/>
  </sheetViews>
  <sheetFormatPr baseColWidth="10" defaultRowHeight="16" x14ac:dyDescent="0.2"/>
  <cols>
    <col min="1" max="1" width="13.6640625" bestFit="1" customWidth="1"/>
    <col min="6" max="6" width="10.1640625" bestFit="1" customWidth="1"/>
    <col min="7" max="7" width="5.1640625" bestFit="1" customWidth="1"/>
    <col min="14" max="14" width="11.1640625" bestFit="1" customWidth="1"/>
    <col min="15" max="15" width="12.83203125" bestFit="1" customWidth="1"/>
    <col min="17" max="17" width="43.5" bestFit="1" customWidth="1"/>
  </cols>
  <sheetData>
    <row r="1" spans="1:17" x14ac:dyDescent="0.2">
      <c r="A1" t="s">
        <v>0</v>
      </c>
      <c r="B1" t="s">
        <v>10</v>
      </c>
      <c r="C1" t="s">
        <v>11</v>
      </c>
      <c r="D1" t="s">
        <v>12</v>
      </c>
      <c r="E1" t="s">
        <v>13</v>
      </c>
      <c r="H1" t="s">
        <v>6</v>
      </c>
      <c r="I1" t="s">
        <v>27</v>
      </c>
    </row>
    <row r="2" spans="1:17" x14ac:dyDescent="0.2">
      <c r="A2" t="s">
        <v>33</v>
      </c>
      <c r="B2">
        <v>6</v>
      </c>
      <c r="C2" t="s">
        <v>32</v>
      </c>
      <c r="D2" t="s">
        <v>16</v>
      </c>
      <c r="E2">
        <v>600.02157187461796</v>
      </c>
      <c r="F2">
        <v>129</v>
      </c>
      <c r="K2" t="s">
        <v>1</v>
      </c>
      <c r="N2" t="s">
        <v>8</v>
      </c>
      <c r="O2" t="s">
        <v>4</v>
      </c>
      <c r="Q2" t="s">
        <v>9</v>
      </c>
    </row>
    <row r="3" spans="1:17" x14ac:dyDescent="0.2">
      <c r="A3" t="s">
        <v>0</v>
      </c>
      <c r="B3" t="s">
        <v>10</v>
      </c>
      <c r="C3" t="s">
        <v>11</v>
      </c>
      <c r="D3" t="s">
        <v>12</v>
      </c>
      <c r="E3" t="s">
        <v>13</v>
      </c>
      <c r="I3" t="s">
        <v>0</v>
      </c>
      <c r="J3" t="s">
        <v>5</v>
      </c>
      <c r="K3" t="s">
        <v>3</v>
      </c>
      <c r="L3" t="s">
        <v>2</v>
      </c>
    </row>
    <row r="4" spans="1:17" x14ac:dyDescent="0.2">
      <c r="A4" t="s">
        <v>33</v>
      </c>
      <c r="B4">
        <v>8</v>
      </c>
      <c r="C4" t="s">
        <v>32</v>
      </c>
      <c r="D4" t="s">
        <v>16</v>
      </c>
      <c r="E4">
        <v>600.01902103424004</v>
      </c>
      <c r="F4">
        <v>100</v>
      </c>
      <c r="I4" t="str">
        <f>CONCATENATE($I$1,"1")</f>
        <v>pard300_1</v>
      </c>
      <c r="J4">
        <v>6</v>
      </c>
      <c r="K4">
        <f t="shared" ref="K4:K35" si="0">SUMIFS(E:E,A:A,I4,B:B,J4,D:D,"CPLEX MISOCP")</f>
        <v>600.02157187461796</v>
      </c>
      <c r="L4">
        <f t="shared" ref="L4:L35" si="1">SUMIFS(F:F,A:A,I4,B:B,J4,D:D,"CPLEX MISOCP")</f>
        <v>129</v>
      </c>
      <c r="N4">
        <f t="shared" ref="N4:N35" si="2">COUNTIFS(D:D,"OA",B:B,J4,A:A,I4)</f>
        <v>0</v>
      </c>
      <c r="O4">
        <f t="shared" ref="O4:O35" si="3">COUNTIFS(D:D,"CPLEX MISOCP",B:B,J4,A:A,I4)</f>
        <v>1</v>
      </c>
      <c r="Q4" t="e">
        <f>CONCATENATE(I4," &amp; ",J4, " &amp; ", ROUND(#REF!,2), " &amp; ",#REF!, " &amp; ",#REF!, " &amp; ",  ROUND(#REF!,2), " &amp; ",#REF!, " &amp; ",#REF!, " &amp; ", ROUND(#REF!,2), " &amp; ",#REF!, " &amp; ",#REF!, " &amp; ",  ROUND(K4,2), " &amp; ", L4, "\\")</f>
        <v>#REF!</v>
      </c>
    </row>
    <row r="5" spans="1:17" x14ac:dyDescent="0.2">
      <c r="A5" t="s">
        <v>0</v>
      </c>
      <c r="B5" t="s">
        <v>10</v>
      </c>
      <c r="C5" t="s">
        <v>11</v>
      </c>
      <c r="D5" t="s">
        <v>12</v>
      </c>
      <c r="E5" t="s">
        <v>13</v>
      </c>
      <c r="I5" t="str">
        <f t="shared" ref="I5:I8" si="4">CONCATENATE($I$1,"1")</f>
        <v>pard300_1</v>
      </c>
      <c r="J5">
        <v>8</v>
      </c>
      <c r="K5">
        <f t="shared" si="0"/>
        <v>600.01902103424004</v>
      </c>
      <c r="L5">
        <f t="shared" si="1"/>
        <v>100</v>
      </c>
      <c r="N5">
        <f t="shared" si="2"/>
        <v>0</v>
      </c>
      <c r="O5">
        <f t="shared" si="3"/>
        <v>1</v>
      </c>
      <c r="Q5" t="e">
        <f>CONCATENATE(I5," &amp; ",J5, " &amp; ", ROUND(#REF!,2), " &amp; ",#REF!, " &amp; ",#REF!, " &amp; ",  ROUND(#REF!,2), " &amp; ",#REF!, " &amp; ",#REF!, " &amp; ", ROUND(#REF!,2), " &amp; ",#REF!, " &amp; ",#REF!, " &amp; ",  ROUND(K5,2), " &amp; ", L5, "\\")</f>
        <v>#REF!</v>
      </c>
    </row>
    <row r="6" spans="1:17" x14ac:dyDescent="0.2">
      <c r="A6" t="s">
        <v>33</v>
      </c>
      <c r="B6">
        <v>10</v>
      </c>
      <c r="C6" t="s">
        <v>32</v>
      </c>
      <c r="D6" t="s">
        <v>16</v>
      </c>
      <c r="E6">
        <v>600.01943492889404</v>
      </c>
      <c r="F6">
        <v>89</v>
      </c>
      <c r="I6" t="str">
        <f t="shared" si="4"/>
        <v>pard300_1</v>
      </c>
      <c r="J6">
        <v>10</v>
      </c>
      <c r="K6">
        <f t="shared" si="0"/>
        <v>600.01943492889404</v>
      </c>
      <c r="L6">
        <f t="shared" si="1"/>
        <v>89</v>
      </c>
      <c r="N6">
        <f t="shared" si="2"/>
        <v>0</v>
      </c>
      <c r="O6">
        <f t="shared" si="3"/>
        <v>1</v>
      </c>
      <c r="Q6" t="e">
        <f>CONCATENATE(I6," &amp; ",J6, " &amp; ", ROUND(#REF!,2), " &amp; ",#REF!, " &amp; ",#REF!, " &amp; ",  ROUND(#REF!,2), " &amp; ",#REF!, " &amp; ",#REF!, " &amp; ", ROUND(#REF!,2), " &amp; ",#REF!, " &amp; ",#REF!, " &amp; ",  ROUND(K6,2), " &amp; ", L6, "\\")</f>
        <v>#REF!</v>
      </c>
    </row>
    <row r="7" spans="1:17" x14ac:dyDescent="0.2">
      <c r="A7" t="s">
        <v>0</v>
      </c>
      <c r="B7" t="s">
        <v>10</v>
      </c>
      <c r="C7" t="s">
        <v>11</v>
      </c>
      <c r="D7" t="s">
        <v>12</v>
      </c>
      <c r="E7" t="s">
        <v>13</v>
      </c>
      <c r="I7" t="str">
        <f t="shared" si="4"/>
        <v>pard300_1</v>
      </c>
      <c r="J7">
        <v>12</v>
      </c>
      <c r="K7">
        <f t="shared" si="0"/>
        <v>600.01287293434098</v>
      </c>
      <c r="L7">
        <f t="shared" si="1"/>
        <v>137</v>
      </c>
      <c r="N7">
        <f t="shared" si="2"/>
        <v>0</v>
      </c>
      <c r="O7">
        <f t="shared" si="3"/>
        <v>1</v>
      </c>
      <c r="Q7" t="e">
        <f>CONCATENATE(I7," &amp; ",J7, " &amp; ", ROUND(#REF!,2), " &amp; ",#REF!, " &amp; ",#REF!, " &amp; ",  ROUND(#REF!,2), " &amp; ",#REF!, " &amp; ",#REF!, " &amp; ", ROUND(#REF!,2), " &amp; ",#REF!, " &amp; ",#REF!, " &amp; ",  ROUND(K7,2), " &amp; ", L7, "\\")</f>
        <v>#REF!</v>
      </c>
    </row>
    <row r="8" spans="1:17" x14ac:dyDescent="0.2">
      <c r="A8" t="s">
        <v>33</v>
      </c>
      <c r="B8">
        <v>12</v>
      </c>
      <c r="C8" t="s">
        <v>32</v>
      </c>
      <c r="D8" t="s">
        <v>16</v>
      </c>
      <c r="E8">
        <v>600.01287293434098</v>
      </c>
      <c r="F8">
        <v>137</v>
      </c>
      <c r="I8" t="str">
        <f t="shared" si="4"/>
        <v>pard300_1</v>
      </c>
      <c r="J8">
        <v>300</v>
      </c>
      <c r="K8">
        <f t="shared" si="0"/>
        <v>600.030277967453</v>
      </c>
      <c r="L8">
        <f t="shared" si="1"/>
        <v>84</v>
      </c>
      <c r="N8">
        <f t="shared" si="2"/>
        <v>0</v>
      </c>
      <c r="O8">
        <f t="shared" si="3"/>
        <v>1</v>
      </c>
      <c r="Q8" t="e">
        <f>CONCATENATE(I8," &amp; ","nc", " &amp; ", ROUND(#REF!,2), " &amp; ",#REF!, " &amp; ",#REF!, " &amp; ",  ROUND(#REF!,2), " &amp; ",#REF!, " &amp; ",#REF!, " &amp; ", ROUND(#REF!,2), " &amp; ",#REF!, " &amp; ",#REF!, " &amp; ",  ROUND(K8,2), " &amp; ", L8, "\\")</f>
        <v>#REF!</v>
      </c>
    </row>
    <row r="9" spans="1:17" x14ac:dyDescent="0.2">
      <c r="A9" t="s">
        <v>0</v>
      </c>
      <c r="B9" t="s">
        <v>10</v>
      </c>
      <c r="C9" t="s">
        <v>11</v>
      </c>
      <c r="D9" t="s">
        <v>12</v>
      </c>
      <c r="E9" t="s">
        <v>13</v>
      </c>
      <c r="I9" t="str">
        <f>CONCATENATE($I$1,"2")</f>
        <v>pard300_2</v>
      </c>
      <c r="J9">
        <v>6</v>
      </c>
      <c r="K9">
        <f t="shared" si="0"/>
        <v>600.02218484878495</v>
      </c>
      <c r="L9">
        <f t="shared" si="1"/>
        <v>95</v>
      </c>
      <c r="N9">
        <f t="shared" si="2"/>
        <v>0</v>
      </c>
      <c r="O9">
        <f t="shared" si="3"/>
        <v>1</v>
      </c>
      <c r="Q9" t="e">
        <f>CONCATENATE(I9," &amp; ",J9, " &amp; ", ROUND(#REF!,2), " &amp; ",#REF!, " &amp; ",#REF!, " &amp; ",  ROUND(#REF!,2), " &amp; ",#REF!, " &amp; ",#REF!, " &amp; ", ROUND(#REF!,2), " &amp; ",#REF!, " &amp; ",#REF!, " &amp; ",  ROUND(K9,2), " &amp; ", L9, "\\")</f>
        <v>#REF!</v>
      </c>
    </row>
    <row r="10" spans="1:17" x14ac:dyDescent="0.2">
      <c r="A10" t="s">
        <v>33</v>
      </c>
      <c r="B10">
        <v>300</v>
      </c>
      <c r="C10" t="s">
        <v>32</v>
      </c>
      <c r="D10" t="s">
        <v>16</v>
      </c>
      <c r="E10">
        <v>600.030277967453</v>
      </c>
      <c r="F10">
        <v>84</v>
      </c>
      <c r="I10" t="str">
        <f t="shared" ref="I10:I13" si="5">CONCATENATE($I$1,"2")</f>
        <v>pard300_2</v>
      </c>
      <c r="J10">
        <v>8</v>
      </c>
      <c r="K10">
        <f t="shared" si="0"/>
        <v>600.01139402389504</v>
      </c>
      <c r="L10">
        <f t="shared" si="1"/>
        <v>90</v>
      </c>
      <c r="N10">
        <f t="shared" si="2"/>
        <v>0</v>
      </c>
      <c r="O10">
        <f t="shared" si="3"/>
        <v>1</v>
      </c>
      <c r="Q10" t="e">
        <f>CONCATENATE(I10," &amp; ",J10, " &amp; ", ROUND(#REF!,2), " &amp; ",#REF!, " &amp; ",#REF!, " &amp; ",  ROUND(#REF!,2), " &amp; ",#REF!, " &amp; ",#REF!, " &amp; ", ROUND(#REF!,2), " &amp; ",#REF!, " &amp; ",#REF!, " &amp; ",  ROUND(K10,2), " &amp; ", L10, "\\")</f>
        <v>#REF!</v>
      </c>
    </row>
    <row r="11" spans="1:17" x14ac:dyDescent="0.2">
      <c r="A11" t="s">
        <v>0</v>
      </c>
      <c r="B11" t="s">
        <v>10</v>
      </c>
      <c r="C11" t="s">
        <v>11</v>
      </c>
      <c r="D11" t="s">
        <v>12</v>
      </c>
      <c r="E11" t="s">
        <v>13</v>
      </c>
      <c r="I11" t="str">
        <f t="shared" si="5"/>
        <v>pard300_2</v>
      </c>
      <c r="J11">
        <v>10</v>
      </c>
      <c r="K11">
        <f t="shared" si="0"/>
        <v>600.01916885375897</v>
      </c>
      <c r="L11">
        <f t="shared" si="1"/>
        <v>89</v>
      </c>
      <c r="N11">
        <f t="shared" si="2"/>
        <v>0</v>
      </c>
      <c r="O11">
        <f t="shared" si="3"/>
        <v>1</v>
      </c>
      <c r="Q11" t="e">
        <f>CONCATENATE(I11," &amp; ",J11, " &amp; ", ROUND(#REF!,2), " &amp; ",#REF!, " &amp; ",#REF!, " &amp; ",  ROUND(#REF!,2), " &amp; ",#REF!, " &amp; ",#REF!, " &amp; ", ROUND(#REF!,2), " &amp; ",#REF!, " &amp; ",#REF!, " &amp; ",  ROUND(K11,2), " &amp; ", L11, "\\")</f>
        <v>#REF!</v>
      </c>
    </row>
    <row r="12" spans="1:17" x14ac:dyDescent="0.2">
      <c r="A12" t="s">
        <v>34</v>
      </c>
      <c r="B12">
        <v>6</v>
      </c>
      <c r="C12" t="s">
        <v>32</v>
      </c>
      <c r="D12" t="s">
        <v>16</v>
      </c>
      <c r="E12">
        <v>600.02218484878495</v>
      </c>
      <c r="F12">
        <v>95</v>
      </c>
      <c r="I12" t="str">
        <f t="shared" si="5"/>
        <v>pard300_2</v>
      </c>
      <c r="J12">
        <v>12</v>
      </c>
      <c r="K12">
        <f t="shared" si="0"/>
        <v>600.03627610206604</v>
      </c>
      <c r="L12">
        <f t="shared" si="1"/>
        <v>136</v>
      </c>
      <c r="N12">
        <f t="shared" si="2"/>
        <v>0</v>
      </c>
      <c r="O12">
        <f t="shared" si="3"/>
        <v>1</v>
      </c>
      <c r="Q12" t="e">
        <f>CONCATENATE(I12," &amp; ",J12, " &amp; ", ROUND(#REF!,2), " &amp; ",#REF!, " &amp; ",#REF!, " &amp; ",  ROUND(#REF!,2), " &amp; ",#REF!, " &amp; ",#REF!, " &amp; ", ROUND(#REF!,2), " &amp; ",#REF!, " &amp; ",#REF!, " &amp; ",  ROUND(K12,2), " &amp; ", L12, "\\")</f>
        <v>#REF!</v>
      </c>
    </row>
    <row r="13" spans="1:17" x14ac:dyDescent="0.2">
      <c r="A13" t="s">
        <v>0</v>
      </c>
      <c r="B13" t="s">
        <v>10</v>
      </c>
      <c r="C13" t="s">
        <v>11</v>
      </c>
      <c r="D13" t="s">
        <v>12</v>
      </c>
      <c r="E13" t="s">
        <v>13</v>
      </c>
      <c r="I13" t="str">
        <f t="shared" si="5"/>
        <v>pard300_2</v>
      </c>
      <c r="J13">
        <v>300</v>
      </c>
      <c r="K13">
        <f t="shared" si="0"/>
        <v>600.00851702690102</v>
      </c>
      <c r="L13">
        <f t="shared" si="1"/>
        <v>129</v>
      </c>
      <c r="N13">
        <f t="shared" si="2"/>
        <v>0</v>
      </c>
      <c r="O13">
        <f t="shared" si="3"/>
        <v>1</v>
      </c>
      <c r="Q13" t="e">
        <f>CONCATENATE(I13," &amp; ","nc", " &amp; ", ROUND(#REF!,2), " &amp; ",#REF!, " &amp; ",#REF!, " &amp; ",  ROUND(#REF!,2), " &amp; ",#REF!, " &amp; ",#REF!, " &amp; ", ROUND(#REF!,2), " &amp; ",#REF!, " &amp; ",#REF!, " &amp; ",  ROUND(K13,2), " &amp; ", L13, "\\")</f>
        <v>#REF!</v>
      </c>
    </row>
    <row r="14" spans="1:17" x14ac:dyDescent="0.2">
      <c r="A14" t="s">
        <v>34</v>
      </c>
      <c r="B14">
        <v>8</v>
      </c>
      <c r="C14" t="s">
        <v>32</v>
      </c>
      <c r="D14" t="s">
        <v>16</v>
      </c>
      <c r="E14">
        <v>600.01139402389504</v>
      </c>
      <c r="F14">
        <v>90</v>
      </c>
      <c r="I14" t="str">
        <f>CONCATENATE($I$1,"3")</f>
        <v>pard300_3</v>
      </c>
      <c r="J14">
        <v>6</v>
      </c>
      <c r="K14">
        <f t="shared" si="0"/>
        <v>600.00683307647705</v>
      </c>
      <c r="L14">
        <f t="shared" si="1"/>
        <v>100</v>
      </c>
      <c r="N14">
        <f t="shared" si="2"/>
        <v>0</v>
      </c>
      <c r="O14">
        <f t="shared" si="3"/>
        <v>1</v>
      </c>
      <c r="Q14" t="e">
        <f>CONCATENATE(I14," &amp; ",J14, " &amp; ", ROUND(#REF!,2), " &amp; ",#REF!, " &amp; ",#REF!, " &amp; ",  ROUND(#REF!,2), " &amp; ",#REF!, " &amp; ",#REF!, " &amp; ", ROUND(#REF!,2), " &amp; ",#REF!, " &amp; ",#REF!, " &amp; ",  ROUND(K14,2), " &amp; ", L14, "\\")</f>
        <v>#REF!</v>
      </c>
    </row>
    <row r="15" spans="1:17" x14ac:dyDescent="0.2">
      <c r="A15" t="s">
        <v>0</v>
      </c>
      <c r="B15" t="s">
        <v>10</v>
      </c>
      <c r="C15" t="s">
        <v>11</v>
      </c>
      <c r="D15" t="s">
        <v>12</v>
      </c>
      <c r="E15" t="s">
        <v>13</v>
      </c>
      <c r="I15" t="str">
        <f t="shared" ref="I15:I18" si="6">CONCATENATE($I$1,"3")</f>
        <v>pard300_3</v>
      </c>
      <c r="J15">
        <v>8</v>
      </c>
      <c r="K15">
        <f t="shared" si="0"/>
        <v>600.01043486595097</v>
      </c>
      <c r="L15">
        <f t="shared" si="1"/>
        <v>97</v>
      </c>
      <c r="N15">
        <f t="shared" si="2"/>
        <v>0</v>
      </c>
      <c r="O15">
        <f t="shared" si="3"/>
        <v>1</v>
      </c>
      <c r="Q15" t="e">
        <f>CONCATENATE(I15," &amp; ",J15, " &amp; ", ROUND(#REF!,2), " &amp; ",#REF!, " &amp; ",#REF!, " &amp; ",  ROUND(#REF!,2), " &amp; ",#REF!, " &amp; ",#REF!, " &amp; ", ROUND(#REF!,2), " &amp; ",#REF!, " &amp; ",#REF!, " &amp; ",  ROUND(K15,2), " &amp; ", L15, "\\")</f>
        <v>#REF!</v>
      </c>
    </row>
    <row r="16" spans="1:17" x14ac:dyDescent="0.2">
      <c r="A16" t="s">
        <v>34</v>
      </c>
      <c r="B16">
        <v>10</v>
      </c>
      <c r="C16" t="s">
        <v>32</v>
      </c>
      <c r="D16" t="s">
        <v>16</v>
      </c>
      <c r="E16">
        <v>600.01916885375897</v>
      </c>
      <c r="F16">
        <v>89</v>
      </c>
      <c r="I16" t="str">
        <f t="shared" si="6"/>
        <v>pard300_3</v>
      </c>
      <c r="J16">
        <v>10</v>
      </c>
      <c r="K16">
        <f t="shared" si="0"/>
        <v>600.00438785552899</v>
      </c>
      <c r="L16">
        <f t="shared" si="1"/>
        <v>97</v>
      </c>
      <c r="N16">
        <f t="shared" si="2"/>
        <v>0</v>
      </c>
      <c r="O16">
        <f t="shared" si="3"/>
        <v>1</v>
      </c>
      <c r="Q16" t="e">
        <f>CONCATENATE(I16," &amp; ",J16, " &amp; ", ROUND(#REF!,2), " &amp; ",#REF!, " &amp; ",#REF!, " &amp; ",  ROUND(#REF!,2), " &amp; ",#REF!, " &amp; ",#REF!, " &amp; ", ROUND(#REF!,2), " &amp; ",#REF!, " &amp; ",#REF!, " &amp; ",  ROUND(K16,2), " &amp; ", L16, "\\")</f>
        <v>#REF!</v>
      </c>
    </row>
    <row r="17" spans="1:17" x14ac:dyDescent="0.2">
      <c r="A17" t="s">
        <v>0</v>
      </c>
      <c r="B17" t="s">
        <v>10</v>
      </c>
      <c r="C17" t="s">
        <v>11</v>
      </c>
      <c r="D17" t="s">
        <v>12</v>
      </c>
      <c r="E17" t="s">
        <v>13</v>
      </c>
      <c r="I17" t="str">
        <f t="shared" si="6"/>
        <v>pard300_3</v>
      </c>
      <c r="J17">
        <v>12</v>
      </c>
      <c r="K17">
        <f t="shared" si="0"/>
        <v>600.00567984580903</v>
      </c>
      <c r="L17">
        <f t="shared" si="1"/>
        <v>130</v>
      </c>
      <c r="N17">
        <f t="shared" si="2"/>
        <v>0</v>
      </c>
      <c r="O17">
        <f t="shared" si="3"/>
        <v>1</v>
      </c>
      <c r="Q17" t="e">
        <f>CONCATENATE(I17," &amp; ",J17, " &amp; ", ROUND(#REF!,2), " &amp; ",#REF!, " &amp; ",#REF!, " &amp; ",  ROUND(#REF!,2), " &amp; ",#REF!, " &amp; ",#REF!, " &amp; ", ROUND(#REF!,2), " &amp; ",#REF!, " &amp; ",#REF!, " &amp; ",  ROUND(K17,2), " &amp; ", L17, "\\")</f>
        <v>#REF!</v>
      </c>
    </row>
    <row r="18" spans="1:17" x14ac:dyDescent="0.2">
      <c r="A18" t="s">
        <v>34</v>
      </c>
      <c r="B18">
        <v>12</v>
      </c>
      <c r="C18" t="s">
        <v>32</v>
      </c>
      <c r="D18" t="s">
        <v>16</v>
      </c>
      <c r="E18">
        <v>600.03627610206604</v>
      </c>
      <c r="F18">
        <v>136</v>
      </c>
      <c r="I18" t="str">
        <f t="shared" si="6"/>
        <v>pard300_3</v>
      </c>
      <c r="J18">
        <v>300</v>
      </c>
      <c r="K18">
        <f t="shared" si="0"/>
        <v>600.02638387679997</v>
      </c>
      <c r="L18">
        <f t="shared" si="1"/>
        <v>65</v>
      </c>
      <c r="N18">
        <f t="shared" si="2"/>
        <v>0</v>
      </c>
      <c r="O18">
        <f t="shared" si="3"/>
        <v>1</v>
      </c>
      <c r="Q18" t="e">
        <f>CONCATENATE(I18," &amp; ","nc", " &amp; ", ROUND(#REF!,2), " &amp; ",#REF!, " &amp; ",#REF!, " &amp; ",  ROUND(#REF!,2), " &amp; ",#REF!, " &amp; ",#REF!, " &amp; ", ROUND(#REF!,2), " &amp; ",#REF!, " &amp; ",#REF!, " &amp; ",  ROUND(K18,2), " &amp; ", L18, "\\")</f>
        <v>#REF!</v>
      </c>
    </row>
    <row r="19" spans="1:17" x14ac:dyDescent="0.2">
      <c r="A19" t="s">
        <v>0</v>
      </c>
      <c r="B19" t="s">
        <v>10</v>
      </c>
      <c r="C19" t="s">
        <v>11</v>
      </c>
      <c r="D19" t="s">
        <v>12</v>
      </c>
      <c r="E19" t="s">
        <v>13</v>
      </c>
      <c r="I19" t="str">
        <f>CONCATENATE($I$1,"4")</f>
        <v>pard300_4</v>
      </c>
      <c r="J19">
        <v>6</v>
      </c>
      <c r="K19">
        <f t="shared" si="0"/>
        <v>600.01418709754898</v>
      </c>
      <c r="L19">
        <f t="shared" si="1"/>
        <v>90</v>
      </c>
      <c r="N19">
        <f t="shared" si="2"/>
        <v>0</v>
      </c>
      <c r="O19">
        <f t="shared" si="3"/>
        <v>1</v>
      </c>
      <c r="Q19" t="e">
        <f>CONCATENATE(I19," &amp; ",J19, " &amp; ", ROUND(#REF!,2), " &amp; ",#REF!, " &amp; ",#REF!, " &amp; ",  ROUND(#REF!,2), " &amp; ",#REF!, " &amp; ",#REF!, " &amp; ", ROUND(#REF!,2), " &amp; ",#REF!, " &amp; ",#REF!, " &amp; ",  ROUND(K19,2), " &amp; ", L19, "\\")</f>
        <v>#REF!</v>
      </c>
    </row>
    <row r="20" spans="1:17" x14ac:dyDescent="0.2">
      <c r="A20" t="s">
        <v>34</v>
      </c>
      <c r="B20">
        <v>300</v>
      </c>
      <c r="C20" t="s">
        <v>32</v>
      </c>
      <c r="D20" t="s">
        <v>16</v>
      </c>
      <c r="E20">
        <v>600.00851702690102</v>
      </c>
      <c r="F20">
        <v>129</v>
      </c>
      <c r="I20" t="str">
        <f t="shared" ref="I20:I23" si="7">CONCATENATE($I$1,"4")</f>
        <v>pard300_4</v>
      </c>
      <c r="J20">
        <v>8</v>
      </c>
      <c r="K20">
        <f t="shared" si="0"/>
        <v>600.010236024856</v>
      </c>
      <c r="L20">
        <f t="shared" si="1"/>
        <v>86</v>
      </c>
      <c r="N20">
        <f t="shared" si="2"/>
        <v>0</v>
      </c>
      <c r="O20">
        <f t="shared" si="3"/>
        <v>1</v>
      </c>
      <c r="Q20" t="e">
        <f>CONCATENATE(I20," &amp; ",J20, " &amp; ", ROUND(#REF!,2), " &amp; ",#REF!, " &amp; ",#REF!, " &amp; ",  ROUND(#REF!,2), " &amp; ",#REF!, " &amp; ",#REF!, " &amp; ", ROUND(#REF!,2), " &amp; ",#REF!, " &amp; ",#REF!, " &amp; ",  ROUND(K20,2), " &amp; ", L20, "\\")</f>
        <v>#REF!</v>
      </c>
    </row>
    <row r="21" spans="1:17" x14ac:dyDescent="0.2">
      <c r="A21" t="s">
        <v>0</v>
      </c>
      <c r="B21" t="s">
        <v>10</v>
      </c>
      <c r="C21" t="s">
        <v>11</v>
      </c>
      <c r="D21" t="s">
        <v>12</v>
      </c>
      <c r="E21" t="s">
        <v>13</v>
      </c>
      <c r="I21" t="str">
        <f t="shared" si="7"/>
        <v>pard300_4</v>
      </c>
      <c r="J21">
        <v>10</v>
      </c>
      <c r="K21">
        <f t="shared" si="0"/>
        <v>600.01292681693997</v>
      </c>
      <c r="L21">
        <f t="shared" si="1"/>
        <v>88</v>
      </c>
      <c r="N21">
        <f t="shared" si="2"/>
        <v>0</v>
      </c>
      <c r="O21">
        <f t="shared" si="3"/>
        <v>1</v>
      </c>
      <c r="Q21" t="e">
        <f>CONCATENATE(I21," &amp; ",J21, " &amp; ", ROUND(#REF!,2), " &amp; ",#REF!, " &amp; ",#REF!, " &amp; ",  ROUND(#REF!,2), " &amp; ",#REF!, " &amp; ",#REF!, " &amp; ", ROUND(#REF!,2), " &amp; ",#REF!, " &amp; ",#REF!, " &amp; ",  ROUND(K21,2), " &amp; ", L21, "\\")</f>
        <v>#REF!</v>
      </c>
    </row>
    <row r="22" spans="1:17" x14ac:dyDescent="0.2">
      <c r="A22" t="s">
        <v>35</v>
      </c>
      <c r="B22">
        <v>6</v>
      </c>
      <c r="C22" t="s">
        <v>32</v>
      </c>
      <c r="D22" t="s">
        <v>16</v>
      </c>
      <c r="E22">
        <v>600.00683307647705</v>
      </c>
      <c r="F22">
        <v>100</v>
      </c>
      <c r="I22" t="str">
        <f t="shared" si="7"/>
        <v>pard300_4</v>
      </c>
      <c r="J22">
        <v>12</v>
      </c>
      <c r="K22">
        <f t="shared" si="0"/>
        <v>600.01678109168995</v>
      </c>
      <c r="L22">
        <f t="shared" si="1"/>
        <v>102</v>
      </c>
      <c r="N22">
        <f t="shared" si="2"/>
        <v>0</v>
      </c>
      <c r="O22">
        <f t="shared" si="3"/>
        <v>1</v>
      </c>
      <c r="Q22" t="e">
        <f>CONCATENATE(I22," &amp; ",J22, " &amp; ", ROUND(#REF!,2), " &amp; ",#REF!, " &amp; ",#REF!, " &amp; ",  ROUND(#REF!,2), " &amp; ",#REF!, " &amp; ",#REF!, " &amp; ", ROUND(#REF!,2), " &amp; ",#REF!, " &amp; ",#REF!, " &amp; ",  ROUND(K22,2), " &amp; ", L22, "\\")</f>
        <v>#REF!</v>
      </c>
    </row>
    <row r="23" spans="1:17" x14ac:dyDescent="0.2">
      <c r="A23" t="s">
        <v>0</v>
      </c>
      <c r="B23" t="s">
        <v>10</v>
      </c>
      <c r="C23" t="s">
        <v>11</v>
      </c>
      <c r="D23" t="s">
        <v>12</v>
      </c>
      <c r="E23" t="s">
        <v>13</v>
      </c>
      <c r="I23" t="str">
        <f t="shared" si="7"/>
        <v>pard300_4</v>
      </c>
      <c r="J23">
        <v>300</v>
      </c>
      <c r="K23">
        <f t="shared" si="0"/>
        <v>600.00960993766705</v>
      </c>
      <c r="L23">
        <f t="shared" si="1"/>
        <v>90</v>
      </c>
      <c r="N23">
        <f t="shared" si="2"/>
        <v>0</v>
      </c>
      <c r="O23">
        <f t="shared" si="3"/>
        <v>1</v>
      </c>
      <c r="Q23" t="e">
        <f>CONCATENATE(I23," &amp; ","nc", " &amp; ", ROUND(#REF!,2), " &amp; ",#REF!, " &amp; ",#REF!, " &amp; ",  ROUND(#REF!,2), " &amp; ",#REF!, " &amp; ",#REF!, " &amp; ", ROUND(#REF!,2), " &amp; ",#REF!, " &amp; ",#REF!, " &amp; ",  ROUND(K23,2), " &amp; ", L23, "\\")</f>
        <v>#REF!</v>
      </c>
    </row>
    <row r="24" spans="1:17" x14ac:dyDescent="0.2">
      <c r="A24" t="s">
        <v>35</v>
      </c>
      <c r="B24">
        <v>8</v>
      </c>
      <c r="C24" t="s">
        <v>32</v>
      </c>
      <c r="D24" t="s">
        <v>16</v>
      </c>
      <c r="E24">
        <v>600.01043486595097</v>
      </c>
      <c r="F24">
        <v>97</v>
      </c>
      <c r="I24" t="str">
        <f>CONCATENATE($I$1,"5")</f>
        <v>pard300_5</v>
      </c>
      <c r="J24">
        <v>6</v>
      </c>
      <c r="K24">
        <f t="shared" si="0"/>
        <v>600.02010607719399</v>
      </c>
      <c r="L24">
        <f t="shared" si="1"/>
        <v>78</v>
      </c>
      <c r="N24">
        <f t="shared" si="2"/>
        <v>0</v>
      </c>
      <c r="O24">
        <f t="shared" si="3"/>
        <v>1</v>
      </c>
      <c r="Q24" t="e">
        <f>CONCATENATE(I24," &amp; ",J24, " &amp; ", ROUND(#REF!,2), " &amp; ",#REF!, " &amp; ",#REF!, " &amp; ",  ROUND(#REF!,2), " &amp; ",#REF!, " &amp; ",#REF!, " &amp; ", ROUND(#REF!,2), " &amp; ",#REF!, " &amp; ",#REF!, " &amp; ",  ROUND(K24,2), " &amp; ", L24, "\\")</f>
        <v>#REF!</v>
      </c>
    </row>
    <row r="25" spans="1:17" x14ac:dyDescent="0.2">
      <c r="A25" t="s">
        <v>0</v>
      </c>
      <c r="B25" t="s">
        <v>10</v>
      </c>
      <c r="C25" t="s">
        <v>11</v>
      </c>
      <c r="D25" t="s">
        <v>12</v>
      </c>
      <c r="E25" t="s">
        <v>13</v>
      </c>
      <c r="I25" t="str">
        <f t="shared" ref="I25:I28" si="8">CONCATENATE($I$1,"5")</f>
        <v>pard300_5</v>
      </c>
      <c r="J25">
        <v>8</v>
      </c>
      <c r="K25">
        <f t="shared" si="0"/>
        <v>384.17769479751502</v>
      </c>
      <c r="L25">
        <f t="shared" si="1"/>
        <v>63</v>
      </c>
      <c r="N25">
        <f t="shared" si="2"/>
        <v>0</v>
      </c>
      <c r="O25">
        <f t="shared" si="3"/>
        <v>1</v>
      </c>
      <c r="Q25" t="e">
        <f>CONCATENATE(I25," &amp; ",J25, " &amp; ", ROUND(#REF!,2), " &amp; ",#REF!, " &amp; ",#REF!, " &amp; ",  ROUND(#REF!,2), " &amp; ",#REF!, " &amp; ",#REF!, " &amp; ", ROUND(#REF!,2), " &amp; ",#REF!, " &amp; ",#REF!, " &amp; ",  ROUND(K25,2), " &amp; ", L25, "\\")</f>
        <v>#REF!</v>
      </c>
    </row>
    <row r="26" spans="1:17" x14ac:dyDescent="0.2">
      <c r="A26" t="s">
        <v>35</v>
      </c>
      <c r="B26">
        <v>10</v>
      </c>
      <c r="C26" t="s">
        <v>32</v>
      </c>
      <c r="D26" t="s">
        <v>16</v>
      </c>
      <c r="E26">
        <v>600.00438785552899</v>
      </c>
      <c r="F26">
        <v>97</v>
      </c>
      <c r="I26" t="str">
        <f t="shared" si="8"/>
        <v>pard300_5</v>
      </c>
      <c r="J26">
        <v>10</v>
      </c>
      <c r="K26">
        <f t="shared" si="0"/>
        <v>600.02937197685196</v>
      </c>
      <c r="L26">
        <f t="shared" si="1"/>
        <v>91</v>
      </c>
      <c r="N26">
        <f t="shared" si="2"/>
        <v>0</v>
      </c>
      <c r="O26">
        <f t="shared" si="3"/>
        <v>1</v>
      </c>
      <c r="Q26" t="e">
        <f>CONCATENATE(I26," &amp; ",J26, " &amp; ", ROUND(#REF!,2), " &amp; ",#REF!, " &amp; ",#REF!, " &amp; ",  ROUND(#REF!,2), " &amp; ",#REF!, " &amp; ",#REF!, " &amp; ", ROUND(#REF!,2), " &amp; ",#REF!, " &amp; ",#REF!, " &amp; ",  ROUND(K26,2), " &amp; ", L26, "\\")</f>
        <v>#REF!</v>
      </c>
    </row>
    <row r="27" spans="1:17" x14ac:dyDescent="0.2">
      <c r="A27" t="s">
        <v>0</v>
      </c>
      <c r="B27" t="s">
        <v>10</v>
      </c>
      <c r="C27" t="s">
        <v>11</v>
      </c>
      <c r="D27" t="s">
        <v>12</v>
      </c>
      <c r="E27" t="s">
        <v>13</v>
      </c>
      <c r="I27" t="str">
        <f t="shared" si="8"/>
        <v>pard300_5</v>
      </c>
      <c r="J27">
        <v>12</v>
      </c>
      <c r="K27">
        <f t="shared" si="0"/>
        <v>356.32078790664599</v>
      </c>
      <c r="L27">
        <f t="shared" si="1"/>
        <v>88</v>
      </c>
      <c r="N27">
        <f t="shared" si="2"/>
        <v>0</v>
      </c>
      <c r="O27">
        <f t="shared" si="3"/>
        <v>1</v>
      </c>
      <c r="Q27" t="e">
        <f>CONCATENATE(I27," &amp; ",J27, " &amp; ", ROUND(#REF!,2), " &amp; ",#REF!, " &amp; ",#REF!, " &amp; ",  ROUND(#REF!,2), " &amp; ",#REF!, " &amp; ",#REF!, " &amp; ", ROUND(#REF!,2), " &amp; ",#REF!, " &amp; ",#REF!, " &amp; ",  ROUND(K27,2), " &amp; ", L27, "\\")</f>
        <v>#REF!</v>
      </c>
    </row>
    <row r="28" spans="1:17" x14ac:dyDescent="0.2">
      <c r="A28" t="s">
        <v>35</v>
      </c>
      <c r="B28">
        <v>12</v>
      </c>
      <c r="C28" t="s">
        <v>32</v>
      </c>
      <c r="D28" t="s">
        <v>16</v>
      </c>
      <c r="E28">
        <v>600.00567984580903</v>
      </c>
      <c r="F28">
        <v>130</v>
      </c>
      <c r="I28" t="str">
        <f t="shared" si="8"/>
        <v>pard300_5</v>
      </c>
      <c r="J28">
        <v>300</v>
      </c>
      <c r="K28">
        <f t="shared" si="0"/>
        <v>600.12145709991398</v>
      </c>
      <c r="L28">
        <f t="shared" si="1"/>
        <v>86</v>
      </c>
      <c r="N28">
        <f t="shared" si="2"/>
        <v>0</v>
      </c>
      <c r="O28">
        <f t="shared" si="3"/>
        <v>1</v>
      </c>
      <c r="Q28" t="e">
        <f>CONCATENATE(I28," &amp; ","nc", " &amp; ", ROUND(#REF!,2), " &amp; ",#REF!, " &amp; ",#REF!, " &amp; ",  ROUND(#REF!,2), " &amp; ",#REF!, " &amp; ",#REF!, " &amp; ", ROUND(#REF!,2), " &amp; ",#REF!, " &amp; ",#REF!, " &amp; ",  ROUND(K28,2), " &amp; ", L28, "\\")</f>
        <v>#REF!</v>
      </c>
    </row>
    <row r="29" spans="1:17" x14ac:dyDescent="0.2">
      <c r="A29" t="s">
        <v>0</v>
      </c>
      <c r="B29" t="s">
        <v>10</v>
      </c>
      <c r="C29" t="s">
        <v>11</v>
      </c>
      <c r="D29" t="s">
        <v>12</v>
      </c>
      <c r="E29" t="s">
        <v>13</v>
      </c>
      <c r="I29" t="str">
        <f>CONCATENATE($I$1,"6")</f>
        <v>pard300_6</v>
      </c>
      <c r="J29">
        <v>6</v>
      </c>
      <c r="K29">
        <f t="shared" si="0"/>
        <v>333.69653391838</v>
      </c>
      <c r="L29">
        <f t="shared" si="1"/>
        <v>55</v>
      </c>
      <c r="N29">
        <f t="shared" si="2"/>
        <v>0</v>
      </c>
      <c r="O29">
        <f t="shared" si="3"/>
        <v>1</v>
      </c>
      <c r="Q29" t="e">
        <f>CONCATENATE(I29," &amp; ",J29, " &amp; ", ROUND(#REF!,2), " &amp; ",#REF!, " &amp; ",#REF!, " &amp; ",  ROUND(#REF!,2), " &amp; ",#REF!, " &amp; ",#REF!, " &amp; ", ROUND(#REF!,2), " &amp; ",#REF!, " &amp; ",#REF!, " &amp; ",  ROUND(K29,2), " &amp; ", L29, "\\")</f>
        <v>#REF!</v>
      </c>
    </row>
    <row r="30" spans="1:17" x14ac:dyDescent="0.2">
      <c r="A30" t="s">
        <v>35</v>
      </c>
      <c r="B30">
        <v>300</v>
      </c>
      <c r="C30" t="s">
        <v>32</v>
      </c>
      <c r="D30" t="s">
        <v>16</v>
      </c>
      <c r="E30">
        <v>600.02638387679997</v>
      </c>
      <c r="F30">
        <v>65</v>
      </c>
      <c r="I30" t="str">
        <f t="shared" ref="I30:I33" si="9">CONCATENATE($I$1,"6")</f>
        <v>pard300_6</v>
      </c>
      <c r="J30">
        <v>8</v>
      </c>
      <c r="K30">
        <f t="shared" si="0"/>
        <v>600.000798940658</v>
      </c>
      <c r="L30">
        <f t="shared" si="1"/>
        <v>92</v>
      </c>
      <c r="N30">
        <f t="shared" si="2"/>
        <v>0</v>
      </c>
      <c r="O30">
        <f t="shared" si="3"/>
        <v>1</v>
      </c>
      <c r="Q30" t="e">
        <f>CONCATENATE(I30," &amp; ",J30, " &amp; ", ROUND(#REF!,2), " &amp; ",#REF!, " &amp; ",#REF!, " &amp; ",  ROUND(#REF!,2), " &amp; ",#REF!, " &amp; ",#REF!, " &amp; ", ROUND(#REF!,2), " &amp; ",#REF!, " &amp; ",#REF!, " &amp; ",  ROUND(K30,2), " &amp; ", L30, "\\")</f>
        <v>#REF!</v>
      </c>
    </row>
    <row r="31" spans="1:17" x14ac:dyDescent="0.2">
      <c r="A31" t="s">
        <v>0</v>
      </c>
      <c r="B31" t="s">
        <v>10</v>
      </c>
      <c r="C31" t="s">
        <v>11</v>
      </c>
      <c r="D31" t="s">
        <v>12</v>
      </c>
      <c r="E31" t="s">
        <v>13</v>
      </c>
      <c r="I31" s="2" t="str">
        <f t="shared" si="9"/>
        <v>pard300_6</v>
      </c>
      <c r="J31" s="2">
        <v>10</v>
      </c>
      <c r="K31" s="2">
        <f t="shared" si="0"/>
        <v>600.02243900299004</v>
      </c>
      <c r="L31" s="2">
        <f t="shared" si="1"/>
        <v>80</v>
      </c>
      <c r="N31">
        <f t="shared" si="2"/>
        <v>0</v>
      </c>
      <c r="O31">
        <f t="shared" si="3"/>
        <v>1</v>
      </c>
      <c r="Q31" t="e">
        <f>CONCATENATE(I31," &amp; ",J31, " &amp; ", ROUND(#REF!,2), " &amp; ",#REF!, " &amp; ",#REF!, " &amp; ",  ROUND(#REF!,2), " &amp; ",#REF!, " &amp; ",#REF!, " &amp; ", ROUND(#REF!,2), " &amp; ",#REF!, " &amp; ",#REF!, " &amp; ",  ROUND(K31,2), " &amp; ", L31, "\\")</f>
        <v>#REF!</v>
      </c>
    </row>
    <row r="32" spans="1:17" x14ac:dyDescent="0.2">
      <c r="A32" t="s">
        <v>36</v>
      </c>
      <c r="B32">
        <v>6</v>
      </c>
      <c r="C32" t="s">
        <v>32</v>
      </c>
      <c r="D32" t="s">
        <v>16</v>
      </c>
      <c r="E32">
        <v>600.01418709754898</v>
      </c>
      <c r="F32">
        <v>90</v>
      </c>
      <c r="I32" t="str">
        <f t="shared" si="9"/>
        <v>pard300_6</v>
      </c>
      <c r="J32">
        <v>12</v>
      </c>
      <c r="K32">
        <f t="shared" si="0"/>
        <v>600.03095984458901</v>
      </c>
      <c r="L32">
        <f t="shared" si="1"/>
        <v>91</v>
      </c>
      <c r="N32">
        <f t="shared" si="2"/>
        <v>0</v>
      </c>
      <c r="O32">
        <f t="shared" si="3"/>
        <v>1</v>
      </c>
      <c r="Q32" t="e">
        <f>CONCATENATE(I32," &amp; ",J32, " &amp; ", ROUND(#REF!,2), " &amp; ",#REF!, " &amp; ",#REF!, " &amp; ",  ROUND(#REF!,2), " &amp; ",#REF!, " &amp; ",#REF!, " &amp; ", ROUND(#REF!,2), " &amp; ",#REF!, " &amp; ",#REF!, " &amp; ",  ROUND(K32,2), " &amp; ", L32, "\\")</f>
        <v>#REF!</v>
      </c>
    </row>
    <row r="33" spans="1:17" x14ac:dyDescent="0.2">
      <c r="A33" t="s">
        <v>0</v>
      </c>
      <c r="B33" t="s">
        <v>10</v>
      </c>
      <c r="C33" t="s">
        <v>11</v>
      </c>
      <c r="D33" t="s">
        <v>12</v>
      </c>
      <c r="E33" t="s">
        <v>13</v>
      </c>
      <c r="I33" t="str">
        <f t="shared" si="9"/>
        <v>pard300_6</v>
      </c>
      <c r="J33">
        <v>300</v>
      </c>
      <c r="K33">
        <f t="shared" si="0"/>
        <v>600.01009917259205</v>
      </c>
      <c r="L33">
        <f t="shared" si="1"/>
        <v>136</v>
      </c>
      <c r="N33">
        <f t="shared" si="2"/>
        <v>0</v>
      </c>
      <c r="O33">
        <f t="shared" si="3"/>
        <v>1</v>
      </c>
      <c r="Q33" t="e">
        <f>CONCATENATE(I33," &amp; ","nc", " &amp; ", ROUND(#REF!,2), " &amp; ",#REF!, " &amp; ",#REF!, " &amp; ",  ROUND(#REF!,2), " &amp; ",#REF!, " &amp; ",#REF!, " &amp; ", ROUND(#REF!,2), " &amp; ",#REF!, " &amp; ",#REF!, " &amp; ",  ROUND(K33,2), " &amp; ", L33, "\\")</f>
        <v>#REF!</v>
      </c>
    </row>
    <row r="34" spans="1:17" x14ac:dyDescent="0.2">
      <c r="A34" t="s">
        <v>36</v>
      </c>
      <c r="B34">
        <v>8</v>
      </c>
      <c r="C34" t="s">
        <v>32</v>
      </c>
      <c r="D34" t="s">
        <v>16</v>
      </c>
      <c r="E34">
        <v>600.010236024856</v>
      </c>
      <c r="F34">
        <v>86</v>
      </c>
      <c r="I34" t="str">
        <f>CONCATENATE($I$1,"7")</f>
        <v>pard300_7</v>
      </c>
      <c r="J34">
        <v>6</v>
      </c>
      <c r="K34">
        <f t="shared" si="0"/>
        <v>600.02162599563599</v>
      </c>
      <c r="L34">
        <f t="shared" si="1"/>
        <v>96</v>
      </c>
      <c r="N34">
        <f t="shared" si="2"/>
        <v>0</v>
      </c>
      <c r="O34">
        <f t="shared" si="3"/>
        <v>1</v>
      </c>
      <c r="Q34" t="e">
        <f>CONCATENATE(I34," &amp; ",J34, " &amp; ", ROUND(#REF!,2), " &amp; ",#REF!, " &amp; ",#REF!, " &amp; ",  ROUND(#REF!,2), " &amp; ",#REF!, " &amp; ",#REF!, " &amp; ", ROUND(#REF!,2), " &amp; ",#REF!, " &amp; ",#REF!, " &amp; ",  ROUND(K34,2), " &amp; ", L34, "\\")</f>
        <v>#REF!</v>
      </c>
    </row>
    <row r="35" spans="1:17" x14ac:dyDescent="0.2">
      <c r="A35" t="s">
        <v>0</v>
      </c>
      <c r="B35" t="s">
        <v>10</v>
      </c>
      <c r="C35" t="s">
        <v>11</v>
      </c>
      <c r="D35" t="s">
        <v>12</v>
      </c>
      <c r="E35" t="s">
        <v>13</v>
      </c>
      <c r="I35" t="str">
        <f t="shared" ref="I35:I38" si="10">CONCATENATE($I$1,"7")</f>
        <v>pard300_7</v>
      </c>
      <c r="J35">
        <v>8</v>
      </c>
      <c r="K35">
        <f t="shared" si="0"/>
        <v>600.02243995666504</v>
      </c>
      <c r="L35">
        <f t="shared" si="1"/>
        <v>100</v>
      </c>
      <c r="N35">
        <f t="shared" si="2"/>
        <v>0</v>
      </c>
      <c r="O35">
        <f t="shared" si="3"/>
        <v>1</v>
      </c>
      <c r="Q35" t="e">
        <f>CONCATENATE(I35," &amp; ",J35, " &amp; ", ROUND(#REF!,2), " &amp; ",#REF!, " &amp; ",#REF!, " &amp; ",  ROUND(#REF!,2), " &amp; ",#REF!, " &amp; ",#REF!, " &amp; ", ROUND(#REF!,2), " &amp; ",#REF!, " &amp; ",#REF!, " &amp; ",  ROUND(K35,2), " &amp; ", L35, "\\")</f>
        <v>#REF!</v>
      </c>
    </row>
    <row r="36" spans="1:17" x14ac:dyDescent="0.2">
      <c r="A36" t="s">
        <v>36</v>
      </c>
      <c r="B36">
        <v>10</v>
      </c>
      <c r="C36" t="s">
        <v>32</v>
      </c>
      <c r="D36" t="s">
        <v>16</v>
      </c>
      <c r="E36">
        <v>600.01292681693997</v>
      </c>
      <c r="F36">
        <v>88</v>
      </c>
      <c r="I36" t="str">
        <f t="shared" si="10"/>
        <v>pard300_7</v>
      </c>
      <c r="J36">
        <v>10</v>
      </c>
      <c r="K36">
        <f t="shared" ref="K36:K53" si="11">SUMIFS(E:E,A:A,I36,B:B,J36,D:D,"CPLEX MISOCP")</f>
        <v>600.040656805038</v>
      </c>
      <c r="L36">
        <f t="shared" ref="L36:L53" si="12">SUMIFS(F:F,A:A,I36,B:B,J36,D:D,"CPLEX MISOCP")</f>
        <v>100</v>
      </c>
      <c r="N36">
        <f t="shared" ref="N36:N53" si="13">COUNTIFS(D:D,"OA",B:B,J36,A:A,I36)</f>
        <v>0</v>
      </c>
      <c r="O36">
        <f t="shared" ref="O36:O53" si="14">COUNTIFS(D:D,"CPLEX MISOCP",B:B,J36,A:A,I36)</f>
        <v>1</v>
      </c>
      <c r="Q36" t="e">
        <f>CONCATENATE(I36," &amp; ",J36, " &amp; ", ROUND(#REF!,2), " &amp; ",#REF!, " &amp; ",#REF!, " &amp; ",  ROUND(#REF!,2), " &amp; ",#REF!, " &amp; ",#REF!, " &amp; ", ROUND(#REF!,2), " &amp; ",#REF!, " &amp; ",#REF!, " &amp; ",  ROUND(K36,2), " &amp; ", L36, "\\")</f>
        <v>#REF!</v>
      </c>
    </row>
    <row r="37" spans="1:17" x14ac:dyDescent="0.2">
      <c r="A37" t="s">
        <v>0</v>
      </c>
      <c r="B37" t="s">
        <v>10</v>
      </c>
      <c r="C37" t="s">
        <v>11</v>
      </c>
      <c r="D37" t="s">
        <v>12</v>
      </c>
      <c r="E37" t="s">
        <v>13</v>
      </c>
      <c r="I37" t="str">
        <f t="shared" si="10"/>
        <v>pard300_7</v>
      </c>
      <c r="J37">
        <v>12</v>
      </c>
      <c r="K37">
        <f t="shared" si="11"/>
        <v>600.01678705215397</v>
      </c>
      <c r="L37">
        <f t="shared" si="12"/>
        <v>136</v>
      </c>
      <c r="N37">
        <f t="shared" si="13"/>
        <v>0</v>
      </c>
      <c r="O37">
        <f t="shared" si="14"/>
        <v>1</v>
      </c>
      <c r="Q37" t="e">
        <f>CONCATENATE(I37," &amp; ",J37, " &amp; ", ROUND(#REF!,2), " &amp; ",#REF!, " &amp; ",#REF!, " &amp; ",  ROUND(#REF!,2), " &amp; ",#REF!, " &amp; ",#REF!, " &amp; ", ROUND(#REF!,2), " &amp; ",#REF!, " &amp; ",#REF!, " &amp; ",  ROUND(K37,2), " &amp; ", L37, "\\")</f>
        <v>#REF!</v>
      </c>
    </row>
    <row r="38" spans="1:17" x14ac:dyDescent="0.2">
      <c r="A38" t="s">
        <v>36</v>
      </c>
      <c r="B38">
        <v>12</v>
      </c>
      <c r="C38" t="s">
        <v>32</v>
      </c>
      <c r="D38" t="s">
        <v>16</v>
      </c>
      <c r="E38">
        <v>600.01678109168995</v>
      </c>
      <c r="F38">
        <v>102</v>
      </c>
      <c r="I38" t="str">
        <f t="shared" si="10"/>
        <v>pard300_7</v>
      </c>
      <c r="J38">
        <v>300</v>
      </c>
      <c r="K38">
        <f t="shared" si="11"/>
        <v>600.02111291885296</v>
      </c>
      <c r="L38">
        <f t="shared" si="12"/>
        <v>140</v>
      </c>
      <c r="N38">
        <f t="shared" si="13"/>
        <v>0</v>
      </c>
      <c r="O38">
        <f t="shared" si="14"/>
        <v>1</v>
      </c>
      <c r="Q38" t="e">
        <f>CONCATENATE(I38," &amp; ","nc", " &amp; ", ROUND(#REF!,2), " &amp; ",#REF!, " &amp; ",#REF!, " &amp; ",  ROUND(#REF!,2), " &amp; ",#REF!, " &amp; ",#REF!, " &amp; ", ROUND(#REF!,2), " &amp; ",#REF!, " &amp; ",#REF!, " &amp; ",  ROUND(K38,2), " &amp; ", L38, "\\")</f>
        <v>#REF!</v>
      </c>
    </row>
    <row r="39" spans="1:17" x14ac:dyDescent="0.2">
      <c r="A39" t="s">
        <v>0</v>
      </c>
      <c r="B39" t="s">
        <v>10</v>
      </c>
      <c r="C39" t="s">
        <v>11</v>
      </c>
      <c r="D39" t="s">
        <v>12</v>
      </c>
      <c r="E39" t="s">
        <v>13</v>
      </c>
      <c r="I39" t="str">
        <f>CONCATENATE($I$1,"8")</f>
        <v>pard300_8</v>
      </c>
      <c r="J39">
        <v>6</v>
      </c>
      <c r="K39">
        <f t="shared" si="11"/>
        <v>600.01950097084</v>
      </c>
      <c r="L39">
        <f t="shared" si="12"/>
        <v>89</v>
      </c>
      <c r="N39">
        <f t="shared" si="13"/>
        <v>0</v>
      </c>
      <c r="O39">
        <f t="shared" si="14"/>
        <v>1</v>
      </c>
      <c r="Q39" t="e">
        <f>CONCATENATE(I39," &amp; ",J39, " &amp; ", ROUND(#REF!,2), " &amp; ",#REF!, " &amp; ",#REF!, " &amp; ",  ROUND(#REF!,2), " &amp; ",#REF!, " &amp; ",#REF!, " &amp; ", ROUND(#REF!,2), " &amp; ",#REF!, " &amp; ",#REF!, " &amp; ",  ROUND(K39,2), " &amp; ", L39, "\\")</f>
        <v>#REF!</v>
      </c>
    </row>
    <row r="40" spans="1:17" x14ac:dyDescent="0.2">
      <c r="A40" t="s">
        <v>36</v>
      </c>
      <c r="B40">
        <v>300</v>
      </c>
      <c r="C40" t="s">
        <v>32</v>
      </c>
      <c r="D40" t="s">
        <v>16</v>
      </c>
      <c r="E40">
        <v>600.00960993766705</v>
      </c>
      <c r="F40">
        <v>90</v>
      </c>
      <c r="I40" t="str">
        <f t="shared" ref="I40:I43" si="15">CONCATENATE($I$1,"8")</f>
        <v>pard300_8</v>
      </c>
      <c r="J40">
        <v>8</v>
      </c>
      <c r="K40">
        <f t="shared" si="11"/>
        <v>600.00692105293194</v>
      </c>
      <c r="L40">
        <f t="shared" si="12"/>
        <v>91</v>
      </c>
      <c r="N40">
        <f t="shared" si="13"/>
        <v>0</v>
      </c>
      <c r="O40">
        <f t="shared" si="14"/>
        <v>1</v>
      </c>
      <c r="Q40" t="e">
        <f>CONCATENATE(I40," &amp; ",J40, " &amp; ", ROUND(#REF!,2), " &amp; ",#REF!, " &amp; ",#REF!, " &amp; ",  ROUND(#REF!,2), " &amp; ",#REF!, " &amp; ",#REF!, " &amp; ", ROUND(#REF!,2), " &amp; ",#REF!, " &amp; ",#REF!, " &amp; ",  ROUND(K40,2), " &amp; ", L40, "\\")</f>
        <v>#REF!</v>
      </c>
    </row>
    <row r="41" spans="1:17" x14ac:dyDescent="0.2">
      <c r="A41" t="s">
        <v>0</v>
      </c>
      <c r="B41" t="s">
        <v>10</v>
      </c>
      <c r="C41" t="s">
        <v>11</v>
      </c>
      <c r="D41" t="s">
        <v>12</v>
      </c>
      <c r="E41" t="s">
        <v>13</v>
      </c>
      <c r="I41" t="str">
        <f t="shared" si="15"/>
        <v>pard300_8</v>
      </c>
      <c r="J41">
        <v>10</v>
      </c>
      <c r="K41">
        <f t="shared" si="11"/>
        <v>600.02311706542901</v>
      </c>
      <c r="L41">
        <f t="shared" si="12"/>
        <v>88</v>
      </c>
      <c r="N41">
        <f t="shared" si="13"/>
        <v>0</v>
      </c>
      <c r="O41">
        <f t="shared" si="14"/>
        <v>1</v>
      </c>
      <c r="Q41" t="e">
        <f>CONCATENATE(I41," &amp; ",J41, " &amp; ", ROUND(#REF!,2), " &amp; ",#REF!, " &amp; ",#REF!, " &amp; ",  ROUND(#REF!,2), " &amp; ",#REF!, " &amp; ",#REF!, " &amp; ", ROUND(#REF!,2), " &amp; ",#REF!, " &amp; ",#REF!, " &amp; ",  ROUND(K41,2), " &amp; ", L41, "\\")</f>
        <v>#REF!</v>
      </c>
    </row>
    <row r="42" spans="1:17" x14ac:dyDescent="0.2">
      <c r="A42" t="s">
        <v>37</v>
      </c>
      <c r="B42">
        <v>6</v>
      </c>
      <c r="C42" t="s">
        <v>32</v>
      </c>
      <c r="D42" t="s">
        <v>16</v>
      </c>
      <c r="E42">
        <v>600.02010607719399</v>
      </c>
      <c r="F42">
        <v>78</v>
      </c>
      <c r="I42" t="str">
        <f t="shared" si="15"/>
        <v>pard300_8</v>
      </c>
      <c r="J42">
        <v>12</v>
      </c>
      <c r="K42">
        <f t="shared" si="11"/>
        <v>600.02728104591301</v>
      </c>
      <c r="L42">
        <f t="shared" si="12"/>
        <v>91</v>
      </c>
      <c r="N42">
        <f t="shared" si="13"/>
        <v>0</v>
      </c>
      <c r="O42">
        <f t="shared" si="14"/>
        <v>1</v>
      </c>
      <c r="Q42" t="e">
        <f>CONCATENATE(I42," &amp; ",J42, " &amp; ", ROUND(#REF!,2), " &amp; ",#REF!, " &amp; ",#REF!, " &amp; ",  ROUND(#REF!,2), " &amp; ",#REF!, " &amp; ",#REF!, " &amp; ", ROUND(#REF!,2), " &amp; ",#REF!, " &amp; ",#REF!, " &amp; ",  ROUND(K42,2), " &amp; ", L42, "\\")</f>
        <v>#REF!</v>
      </c>
    </row>
    <row r="43" spans="1:17" x14ac:dyDescent="0.2">
      <c r="A43" t="s">
        <v>0</v>
      </c>
      <c r="B43" t="s">
        <v>10</v>
      </c>
      <c r="C43" t="s">
        <v>11</v>
      </c>
      <c r="D43" t="s">
        <v>12</v>
      </c>
      <c r="E43" t="s">
        <v>13</v>
      </c>
      <c r="I43" t="str">
        <f t="shared" si="15"/>
        <v>pard300_8</v>
      </c>
      <c r="J43">
        <v>300</v>
      </c>
      <c r="K43">
        <f t="shared" si="11"/>
        <v>600.01594781875599</v>
      </c>
      <c r="L43">
        <f t="shared" si="12"/>
        <v>130</v>
      </c>
      <c r="N43">
        <f t="shared" si="13"/>
        <v>0</v>
      </c>
      <c r="O43">
        <f t="shared" si="14"/>
        <v>1</v>
      </c>
      <c r="Q43" t="e">
        <f>CONCATENATE(I43," &amp; ","nc", " &amp; ", ROUND(#REF!,2), " &amp; ",#REF!, " &amp; ",#REF!, " &amp; ",  ROUND(#REF!,2), " &amp; ",#REF!, " &amp; ",#REF!, " &amp; ", ROUND(#REF!,2), " &amp; ",#REF!, " &amp; ",#REF!, " &amp; ",  ROUND(K43,2), " &amp; ", L43, "\\")</f>
        <v>#REF!</v>
      </c>
    </row>
    <row r="44" spans="1:17" x14ac:dyDescent="0.2">
      <c r="A44" t="s">
        <v>37</v>
      </c>
      <c r="B44">
        <v>8</v>
      </c>
      <c r="C44" t="s">
        <v>32</v>
      </c>
      <c r="D44" t="s">
        <v>16</v>
      </c>
      <c r="E44">
        <v>384.17769479751502</v>
      </c>
      <c r="F44">
        <v>63</v>
      </c>
      <c r="I44" t="str">
        <f>CONCATENATE($I$1,"9")</f>
        <v>pard300_9</v>
      </c>
      <c r="J44">
        <v>6</v>
      </c>
      <c r="K44">
        <f t="shared" si="11"/>
        <v>600.004992008209</v>
      </c>
      <c r="L44">
        <f t="shared" si="12"/>
        <v>95</v>
      </c>
      <c r="N44">
        <f t="shared" si="13"/>
        <v>0</v>
      </c>
      <c r="O44">
        <f t="shared" si="14"/>
        <v>1</v>
      </c>
      <c r="Q44" t="e">
        <f>CONCATENATE(I44," &amp; ",J44, " &amp; ", ROUND(#REF!,2), " &amp; ",#REF!, " &amp; ",#REF!, " &amp; ",  ROUND(#REF!,2), " &amp; ",#REF!, " &amp; ",#REF!, " &amp; ", ROUND(#REF!,2), " &amp; ",#REF!, " &amp; ",#REF!, " &amp; ",  ROUND(K44,2), " &amp; ", L44, "\\")</f>
        <v>#REF!</v>
      </c>
    </row>
    <row r="45" spans="1:17" x14ac:dyDescent="0.2">
      <c r="A45" t="s">
        <v>0</v>
      </c>
      <c r="B45" t="s">
        <v>10</v>
      </c>
      <c r="C45" t="s">
        <v>11</v>
      </c>
      <c r="D45" t="s">
        <v>12</v>
      </c>
      <c r="E45" t="s">
        <v>13</v>
      </c>
      <c r="I45" t="str">
        <f t="shared" ref="I45:I48" si="16">CONCATENATE($I$1,"9")</f>
        <v>pard300_9</v>
      </c>
      <c r="J45">
        <v>8</v>
      </c>
      <c r="K45">
        <f t="shared" si="11"/>
        <v>600.00810909271195</v>
      </c>
      <c r="L45">
        <f t="shared" si="12"/>
        <v>85</v>
      </c>
      <c r="N45">
        <f t="shared" si="13"/>
        <v>0</v>
      </c>
      <c r="O45">
        <f t="shared" si="14"/>
        <v>1</v>
      </c>
      <c r="Q45" t="e">
        <f>CONCATENATE(I45," &amp; ",J45, " &amp; ", ROUND(#REF!,2), " &amp; ",#REF!, " &amp; ",#REF!, " &amp; ",  ROUND(#REF!,2), " &amp; ",#REF!, " &amp; ",#REF!, " &amp; ", ROUND(#REF!,2), " &amp; ",#REF!, " &amp; ",#REF!, " &amp; ",  ROUND(K45,2), " &amp; ", L45, "\\")</f>
        <v>#REF!</v>
      </c>
    </row>
    <row r="46" spans="1:17" x14ac:dyDescent="0.2">
      <c r="A46" t="s">
        <v>37</v>
      </c>
      <c r="B46">
        <v>10</v>
      </c>
      <c r="C46" t="s">
        <v>32</v>
      </c>
      <c r="D46" t="s">
        <v>16</v>
      </c>
      <c r="E46">
        <v>600.02937197685196</v>
      </c>
      <c r="F46">
        <v>91</v>
      </c>
      <c r="I46" t="str">
        <f t="shared" si="16"/>
        <v>pard300_9</v>
      </c>
      <c r="J46">
        <v>10</v>
      </c>
      <c r="K46">
        <f t="shared" si="11"/>
        <v>600.00959897041298</v>
      </c>
      <c r="L46">
        <f t="shared" si="12"/>
        <v>92</v>
      </c>
      <c r="N46">
        <f t="shared" si="13"/>
        <v>0</v>
      </c>
      <c r="O46">
        <f t="shared" si="14"/>
        <v>1</v>
      </c>
      <c r="Q46" t="e">
        <f>CONCATENATE(I46," &amp; ",J46, " &amp; ", ROUND(#REF!,2), " &amp; ",#REF!, " &amp; ",#REF!, " &amp; ",  ROUND(#REF!,2), " &amp; ",#REF!, " &amp; ",#REF!, " &amp; ", ROUND(#REF!,2), " &amp; ",#REF!, " &amp; ",#REF!, " &amp; ",  ROUND(K46,2), " &amp; ", L46, "\\")</f>
        <v>#REF!</v>
      </c>
    </row>
    <row r="47" spans="1:17" x14ac:dyDescent="0.2">
      <c r="A47" t="s">
        <v>0</v>
      </c>
      <c r="B47" t="s">
        <v>10</v>
      </c>
      <c r="C47" t="s">
        <v>11</v>
      </c>
      <c r="D47" t="s">
        <v>12</v>
      </c>
      <c r="E47" t="s">
        <v>13</v>
      </c>
      <c r="I47" t="str">
        <f t="shared" si="16"/>
        <v>pard300_9</v>
      </c>
      <c r="J47">
        <v>12</v>
      </c>
      <c r="K47">
        <f t="shared" si="11"/>
        <v>600.02759909629799</v>
      </c>
      <c r="L47">
        <f t="shared" si="12"/>
        <v>122</v>
      </c>
      <c r="N47">
        <f t="shared" si="13"/>
        <v>0</v>
      </c>
      <c r="O47">
        <f t="shared" si="14"/>
        <v>1</v>
      </c>
      <c r="Q47" t="e">
        <f>CONCATENATE(I47," &amp; ",J47, " &amp; ", ROUND(#REF!,2), " &amp; ",#REF!, " &amp; ",#REF!, " &amp; ",  ROUND(#REF!,2), " &amp; ",#REF!, " &amp; ",#REF!, " &amp; ", ROUND(#REF!,2), " &amp; ",#REF!, " &amp; ",#REF!, " &amp; ",  ROUND(K47,2), " &amp; ", L47, "\\")</f>
        <v>#REF!</v>
      </c>
    </row>
    <row r="48" spans="1:17" x14ac:dyDescent="0.2">
      <c r="A48" t="s">
        <v>37</v>
      </c>
      <c r="B48">
        <v>12</v>
      </c>
      <c r="C48" t="s">
        <v>32</v>
      </c>
      <c r="D48" t="s">
        <v>16</v>
      </c>
      <c r="E48">
        <v>356.32078790664599</v>
      </c>
      <c r="F48">
        <v>88</v>
      </c>
      <c r="I48" t="str">
        <f t="shared" si="16"/>
        <v>pard300_9</v>
      </c>
      <c r="J48">
        <v>300</v>
      </c>
      <c r="K48">
        <f t="shared" si="11"/>
        <v>600.00886702537503</v>
      </c>
      <c r="L48">
        <f t="shared" si="12"/>
        <v>129</v>
      </c>
      <c r="N48">
        <f t="shared" si="13"/>
        <v>0</v>
      </c>
      <c r="O48">
        <f t="shared" si="14"/>
        <v>1</v>
      </c>
      <c r="Q48" t="e">
        <f>CONCATENATE(I48," &amp; ","nc", " &amp; ", ROUND(#REF!,2), " &amp; ",#REF!, " &amp; ",#REF!, " &amp; ",  ROUND(#REF!,2), " &amp; ",#REF!, " &amp; ",#REF!, " &amp; ", ROUND(#REF!,2), " &amp; ",#REF!, " &amp; ",#REF!, " &amp; ",  ROUND(K48,2), " &amp; ", L48, "\\")</f>
        <v>#REF!</v>
      </c>
    </row>
    <row r="49" spans="1:17" x14ac:dyDescent="0.2">
      <c r="A49" t="s">
        <v>0</v>
      </c>
      <c r="B49" t="s">
        <v>10</v>
      </c>
      <c r="C49" t="s">
        <v>11</v>
      </c>
      <c r="D49" t="s">
        <v>12</v>
      </c>
      <c r="E49" t="s">
        <v>13</v>
      </c>
      <c r="I49" t="str">
        <f>CONCATENATE($I$1,"10")</f>
        <v>pard300_10</v>
      </c>
      <c r="J49">
        <v>6</v>
      </c>
      <c r="K49">
        <f t="shared" si="11"/>
        <v>600.028189897537</v>
      </c>
      <c r="L49">
        <f t="shared" si="12"/>
        <v>93</v>
      </c>
      <c r="N49">
        <f t="shared" si="13"/>
        <v>0</v>
      </c>
      <c r="O49">
        <f t="shared" si="14"/>
        <v>1</v>
      </c>
      <c r="Q49" t="e">
        <f>CONCATENATE(I49," &amp; ",J49, " &amp; ", ROUND(#REF!,2), " &amp; ",#REF!, " &amp; ",#REF!, " &amp; ",  ROUND(#REF!,2), " &amp; ",#REF!, " &amp; ",#REF!, " &amp; ", ROUND(#REF!,2), " &amp; ",#REF!, " &amp; ",#REF!, " &amp; ",  ROUND(K49,2), " &amp; ", L49, "\\")</f>
        <v>#REF!</v>
      </c>
    </row>
    <row r="50" spans="1:17" x14ac:dyDescent="0.2">
      <c r="A50" t="s">
        <v>37</v>
      </c>
      <c r="B50">
        <v>300</v>
      </c>
      <c r="C50" t="s">
        <v>32</v>
      </c>
      <c r="D50" t="s">
        <v>16</v>
      </c>
      <c r="E50">
        <v>600.12145709991398</v>
      </c>
      <c r="F50">
        <v>86</v>
      </c>
      <c r="I50" t="str">
        <f t="shared" ref="I50:I53" si="17">CONCATENATE($I$1,"10")</f>
        <v>pard300_10</v>
      </c>
      <c r="J50">
        <v>8</v>
      </c>
      <c r="K50">
        <f t="shared" si="11"/>
        <v>600.02184987068097</v>
      </c>
      <c r="L50">
        <f t="shared" si="12"/>
        <v>88</v>
      </c>
      <c r="N50">
        <f t="shared" si="13"/>
        <v>0</v>
      </c>
      <c r="O50">
        <f t="shared" si="14"/>
        <v>1</v>
      </c>
      <c r="Q50" t="e">
        <f>CONCATENATE(I50," &amp; ",J50, " &amp; ", ROUND(#REF!,2), " &amp; ",#REF!, " &amp; ",#REF!, " &amp; ",  ROUND(#REF!,2), " &amp; ",#REF!, " &amp; ",#REF!, " &amp; ", ROUND(#REF!,2), " &amp; ",#REF!, " &amp; ",#REF!, " &amp; ",  ROUND(K50,2), " &amp; ", L50, "\\")</f>
        <v>#REF!</v>
      </c>
    </row>
    <row r="51" spans="1:17" x14ac:dyDescent="0.2">
      <c r="A51" t="s">
        <v>0</v>
      </c>
      <c r="B51" t="s">
        <v>10</v>
      </c>
      <c r="C51" t="s">
        <v>11</v>
      </c>
      <c r="D51" t="s">
        <v>12</v>
      </c>
      <c r="E51" t="s">
        <v>13</v>
      </c>
      <c r="I51" t="str">
        <f t="shared" si="17"/>
        <v>pard300_10</v>
      </c>
      <c r="J51">
        <v>10</v>
      </c>
      <c r="K51">
        <f t="shared" si="11"/>
        <v>600.01435089111305</v>
      </c>
      <c r="L51">
        <f t="shared" si="12"/>
        <v>107</v>
      </c>
      <c r="N51">
        <f t="shared" si="13"/>
        <v>0</v>
      </c>
      <c r="O51">
        <f t="shared" si="14"/>
        <v>1</v>
      </c>
      <c r="Q51" t="e">
        <f>CONCATENATE(I51," &amp; ",J51, " &amp; ", ROUND(#REF!,2), " &amp; ",#REF!, " &amp; ",#REF!, " &amp; ",  ROUND(#REF!,2), " &amp; ",#REF!, " &amp; ",#REF!, " &amp; ", ROUND(#REF!,2), " &amp; ",#REF!, " &amp; ",#REF!, " &amp; ",  ROUND(K51,2), " &amp; ", L51, "\\")</f>
        <v>#REF!</v>
      </c>
    </row>
    <row r="52" spans="1:17" x14ac:dyDescent="0.2">
      <c r="A52" t="s">
        <v>38</v>
      </c>
      <c r="B52">
        <v>6</v>
      </c>
      <c r="C52" t="s">
        <v>32</v>
      </c>
      <c r="D52" t="s">
        <v>16</v>
      </c>
      <c r="E52">
        <v>333.69653391838</v>
      </c>
      <c r="F52">
        <v>55</v>
      </c>
      <c r="I52" t="str">
        <f t="shared" si="17"/>
        <v>pard300_10</v>
      </c>
      <c r="J52">
        <v>12</v>
      </c>
      <c r="K52">
        <f t="shared" si="11"/>
        <v>600.00408101081803</v>
      </c>
      <c r="L52">
        <f t="shared" si="12"/>
        <v>140</v>
      </c>
      <c r="N52">
        <f t="shared" si="13"/>
        <v>0</v>
      </c>
      <c r="O52">
        <f t="shared" si="14"/>
        <v>1</v>
      </c>
      <c r="Q52" t="e">
        <f>CONCATENATE(I52," &amp; ",J52, " &amp; ", ROUND(#REF!,2), " &amp; ",#REF!, " &amp; ",#REF!, " &amp; ",  ROUND(#REF!,2), " &amp; ",#REF!, " &amp; ",#REF!, " &amp; ", ROUND(#REF!,2), " &amp; ",#REF!, " &amp; ",#REF!, " &amp; ",  ROUND(K52,2), " &amp; ", L52, "\\")</f>
        <v>#REF!</v>
      </c>
    </row>
    <row r="53" spans="1:17" x14ac:dyDescent="0.2">
      <c r="A53" t="s">
        <v>0</v>
      </c>
      <c r="B53" t="s">
        <v>10</v>
      </c>
      <c r="C53" t="s">
        <v>11</v>
      </c>
      <c r="D53" t="s">
        <v>12</v>
      </c>
      <c r="E53" t="s">
        <v>13</v>
      </c>
      <c r="I53" t="str">
        <f t="shared" si="17"/>
        <v>pard300_10</v>
      </c>
      <c r="J53">
        <v>300</v>
      </c>
      <c r="K53">
        <f t="shared" si="11"/>
        <v>600.00777101516701</v>
      </c>
      <c r="L53">
        <f t="shared" si="12"/>
        <v>96</v>
      </c>
      <c r="N53">
        <f t="shared" si="13"/>
        <v>0</v>
      </c>
      <c r="O53">
        <f t="shared" si="14"/>
        <v>1</v>
      </c>
      <c r="Q53" t="e">
        <f>CONCATENATE(I53," &amp; ","nc", " &amp; ", ROUND(#REF!,2), " &amp; ",#REF!, " &amp; ",#REF!, " &amp; ",  ROUND(#REF!,2), " &amp; ",#REF!, " &amp; ",#REF!, " &amp; ", ROUND(#REF!,2), " &amp; ",#REF!, " &amp; ",#REF!, " &amp; ",  ROUND(K53,2), " &amp; ", L53, "\\")</f>
        <v>#REF!</v>
      </c>
    </row>
    <row r="54" spans="1:17" x14ac:dyDescent="0.2">
      <c r="A54" t="s">
        <v>38</v>
      </c>
      <c r="B54">
        <v>8</v>
      </c>
      <c r="C54" t="s">
        <v>32</v>
      </c>
      <c r="D54" t="s">
        <v>16</v>
      </c>
      <c r="E54">
        <v>600.000798940658</v>
      </c>
      <c r="F54">
        <v>92</v>
      </c>
    </row>
    <row r="55" spans="1:17" x14ac:dyDescent="0.2">
      <c r="A55" t="s">
        <v>0</v>
      </c>
      <c r="B55" t="s">
        <v>10</v>
      </c>
      <c r="C55" t="s">
        <v>11</v>
      </c>
      <c r="D55" t="s">
        <v>12</v>
      </c>
      <c r="E55" t="s">
        <v>13</v>
      </c>
    </row>
    <row r="56" spans="1:17" x14ac:dyDescent="0.2">
      <c r="A56" t="s">
        <v>38</v>
      </c>
      <c r="B56">
        <v>10</v>
      </c>
      <c r="C56" t="s">
        <v>32</v>
      </c>
      <c r="D56" t="s">
        <v>16</v>
      </c>
      <c r="E56">
        <v>600.02243900299004</v>
      </c>
      <c r="F56">
        <v>80</v>
      </c>
    </row>
    <row r="57" spans="1:17" x14ac:dyDescent="0.2">
      <c r="A57" t="s">
        <v>0</v>
      </c>
      <c r="B57" t="s">
        <v>10</v>
      </c>
      <c r="C57" t="s">
        <v>11</v>
      </c>
      <c r="D57" t="s">
        <v>12</v>
      </c>
      <c r="E57" t="s">
        <v>13</v>
      </c>
    </row>
    <row r="58" spans="1:17" x14ac:dyDescent="0.2">
      <c r="A58" t="s">
        <v>38</v>
      </c>
      <c r="B58">
        <v>12</v>
      </c>
      <c r="C58" t="s">
        <v>32</v>
      </c>
      <c r="D58" t="s">
        <v>16</v>
      </c>
      <c r="E58">
        <v>600.03095984458901</v>
      </c>
      <c r="F58">
        <v>91</v>
      </c>
    </row>
    <row r="59" spans="1:17" x14ac:dyDescent="0.2">
      <c r="A59" t="s">
        <v>0</v>
      </c>
      <c r="B59" t="s">
        <v>10</v>
      </c>
      <c r="C59" t="s">
        <v>11</v>
      </c>
      <c r="D59" t="s">
        <v>12</v>
      </c>
      <c r="E59" t="s">
        <v>13</v>
      </c>
    </row>
    <row r="60" spans="1:17" x14ac:dyDescent="0.2">
      <c r="A60" t="s">
        <v>38</v>
      </c>
      <c r="B60">
        <v>300</v>
      </c>
      <c r="C60" t="s">
        <v>32</v>
      </c>
      <c r="D60" t="s">
        <v>16</v>
      </c>
      <c r="E60">
        <v>600.01009917259205</v>
      </c>
      <c r="F60">
        <v>136</v>
      </c>
    </row>
    <row r="61" spans="1:17" x14ac:dyDescent="0.2">
      <c r="A61" t="s">
        <v>0</v>
      </c>
      <c r="B61" t="s">
        <v>10</v>
      </c>
      <c r="C61" t="s">
        <v>11</v>
      </c>
      <c r="D61" t="s">
        <v>12</v>
      </c>
      <c r="E61" t="s">
        <v>13</v>
      </c>
    </row>
    <row r="62" spans="1:17" x14ac:dyDescent="0.2">
      <c r="A62" t="s">
        <v>39</v>
      </c>
      <c r="B62">
        <v>6</v>
      </c>
      <c r="C62" t="s">
        <v>32</v>
      </c>
      <c r="D62" t="s">
        <v>16</v>
      </c>
      <c r="E62">
        <v>600.02162599563599</v>
      </c>
      <c r="F62">
        <v>96</v>
      </c>
    </row>
    <row r="63" spans="1:17" x14ac:dyDescent="0.2">
      <c r="A63" t="s">
        <v>0</v>
      </c>
      <c r="B63" t="s">
        <v>10</v>
      </c>
      <c r="C63" t="s">
        <v>11</v>
      </c>
      <c r="D63" t="s">
        <v>12</v>
      </c>
      <c r="E63" t="s">
        <v>13</v>
      </c>
    </row>
    <row r="64" spans="1:17" x14ac:dyDescent="0.2">
      <c r="A64" t="s">
        <v>39</v>
      </c>
      <c r="B64">
        <v>8</v>
      </c>
      <c r="C64" t="s">
        <v>32</v>
      </c>
      <c r="D64" t="s">
        <v>16</v>
      </c>
      <c r="E64">
        <v>600.02243995666504</v>
      </c>
      <c r="F64">
        <v>100</v>
      </c>
    </row>
    <row r="65" spans="1:6" x14ac:dyDescent="0.2">
      <c r="A65" t="s">
        <v>0</v>
      </c>
      <c r="B65" t="s">
        <v>10</v>
      </c>
      <c r="C65" t="s">
        <v>11</v>
      </c>
      <c r="D65" t="s">
        <v>12</v>
      </c>
      <c r="E65" t="s">
        <v>13</v>
      </c>
    </row>
    <row r="66" spans="1:6" x14ac:dyDescent="0.2">
      <c r="A66" t="s">
        <v>39</v>
      </c>
      <c r="B66">
        <v>10</v>
      </c>
      <c r="C66" t="s">
        <v>32</v>
      </c>
      <c r="D66" t="s">
        <v>16</v>
      </c>
      <c r="E66">
        <v>600.040656805038</v>
      </c>
      <c r="F66">
        <v>100</v>
      </c>
    </row>
    <row r="67" spans="1:6" x14ac:dyDescent="0.2">
      <c r="A67" t="s">
        <v>0</v>
      </c>
      <c r="B67" t="s">
        <v>10</v>
      </c>
      <c r="C67" t="s">
        <v>11</v>
      </c>
      <c r="D67" t="s">
        <v>12</v>
      </c>
      <c r="E67" t="s">
        <v>13</v>
      </c>
    </row>
    <row r="68" spans="1:6" x14ac:dyDescent="0.2">
      <c r="A68" t="s">
        <v>39</v>
      </c>
      <c r="B68">
        <v>12</v>
      </c>
      <c r="C68" t="s">
        <v>32</v>
      </c>
      <c r="D68" t="s">
        <v>16</v>
      </c>
      <c r="E68">
        <v>600.01678705215397</v>
      </c>
      <c r="F68">
        <v>136</v>
      </c>
    </row>
    <row r="69" spans="1:6" x14ac:dyDescent="0.2">
      <c r="A69" t="s">
        <v>0</v>
      </c>
      <c r="B69" t="s">
        <v>10</v>
      </c>
      <c r="C69" t="s">
        <v>11</v>
      </c>
      <c r="D69" t="s">
        <v>12</v>
      </c>
      <c r="E69" t="s">
        <v>13</v>
      </c>
    </row>
    <row r="70" spans="1:6" x14ac:dyDescent="0.2">
      <c r="A70" t="s">
        <v>39</v>
      </c>
      <c r="B70">
        <v>300</v>
      </c>
      <c r="C70" t="s">
        <v>32</v>
      </c>
      <c r="D70" t="s">
        <v>16</v>
      </c>
      <c r="E70">
        <v>600.02111291885296</v>
      </c>
      <c r="F70">
        <v>140</v>
      </c>
    </row>
    <row r="71" spans="1:6" x14ac:dyDescent="0.2">
      <c r="A71" t="s">
        <v>0</v>
      </c>
      <c r="B71" t="s">
        <v>10</v>
      </c>
      <c r="C71" t="s">
        <v>11</v>
      </c>
      <c r="D71" t="s">
        <v>12</v>
      </c>
      <c r="E71" t="s">
        <v>13</v>
      </c>
    </row>
    <row r="72" spans="1:6" x14ac:dyDescent="0.2">
      <c r="A72" t="s">
        <v>40</v>
      </c>
      <c r="B72">
        <v>6</v>
      </c>
      <c r="C72" t="s">
        <v>32</v>
      </c>
      <c r="D72" t="s">
        <v>16</v>
      </c>
      <c r="E72">
        <v>600.01950097084</v>
      </c>
      <c r="F72">
        <v>89</v>
      </c>
    </row>
    <row r="73" spans="1:6" x14ac:dyDescent="0.2">
      <c r="A73" t="s">
        <v>0</v>
      </c>
      <c r="B73" t="s">
        <v>10</v>
      </c>
      <c r="C73" t="s">
        <v>11</v>
      </c>
      <c r="D73" t="s">
        <v>12</v>
      </c>
      <c r="E73" t="s">
        <v>13</v>
      </c>
    </row>
    <row r="74" spans="1:6" x14ac:dyDescent="0.2">
      <c r="A74" t="s">
        <v>40</v>
      </c>
      <c r="B74">
        <v>8</v>
      </c>
      <c r="C74" t="s">
        <v>32</v>
      </c>
      <c r="D74" t="s">
        <v>16</v>
      </c>
      <c r="E74">
        <v>600.00692105293194</v>
      </c>
      <c r="F74">
        <v>91</v>
      </c>
    </row>
    <row r="75" spans="1:6" x14ac:dyDescent="0.2">
      <c r="A75" t="s">
        <v>0</v>
      </c>
      <c r="B75" t="s">
        <v>10</v>
      </c>
      <c r="C75" t="s">
        <v>11</v>
      </c>
      <c r="D75" t="s">
        <v>12</v>
      </c>
      <c r="E75" t="s">
        <v>13</v>
      </c>
    </row>
    <row r="76" spans="1:6" x14ac:dyDescent="0.2">
      <c r="A76" t="s">
        <v>40</v>
      </c>
      <c r="B76">
        <v>10</v>
      </c>
      <c r="C76" t="s">
        <v>32</v>
      </c>
      <c r="D76" t="s">
        <v>16</v>
      </c>
      <c r="E76">
        <v>600.02311706542901</v>
      </c>
      <c r="F76">
        <v>88</v>
      </c>
    </row>
    <row r="77" spans="1:6" x14ac:dyDescent="0.2">
      <c r="A77" t="s">
        <v>0</v>
      </c>
      <c r="B77" t="s">
        <v>10</v>
      </c>
      <c r="C77" t="s">
        <v>11</v>
      </c>
      <c r="D77" t="s">
        <v>12</v>
      </c>
      <c r="E77" t="s">
        <v>13</v>
      </c>
    </row>
    <row r="78" spans="1:6" x14ac:dyDescent="0.2">
      <c r="A78" t="s">
        <v>40</v>
      </c>
      <c r="B78">
        <v>12</v>
      </c>
      <c r="C78" t="s">
        <v>32</v>
      </c>
      <c r="D78" t="s">
        <v>16</v>
      </c>
      <c r="E78">
        <v>600.02728104591301</v>
      </c>
      <c r="F78">
        <v>91</v>
      </c>
    </row>
    <row r="79" spans="1:6" x14ac:dyDescent="0.2">
      <c r="A79" t="s">
        <v>0</v>
      </c>
      <c r="B79" t="s">
        <v>10</v>
      </c>
      <c r="C79" t="s">
        <v>11</v>
      </c>
      <c r="D79" t="s">
        <v>12</v>
      </c>
      <c r="E79" t="s">
        <v>13</v>
      </c>
    </row>
    <row r="80" spans="1:6" x14ac:dyDescent="0.2">
      <c r="A80" t="s">
        <v>40</v>
      </c>
      <c r="B80">
        <v>300</v>
      </c>
      <c r="C80" t="s">
        <v>32</v>
      </c>
      <c r="D80" t="s">
        <v>16</v>
      </c>
      <c r="E80">
        <v>600.01594781875599</v>
      </c>
      <c r="F80">
        <v>130</v>
      </c>
    </row>
    <row r="81" spans="1:6" x14ac:dyDescent="0.2">
      <c r="A81" t="s">
        <v>0</v>
      </c>
      <c r="B81" t="s">
        <v>10</v>
      </c>
      <c r="C81" t="s">
        <v>11</v>
      </c>
      <c r="D81" t="s">
        <v>12</v>
      </c>
      <c r="E81" t="s">
        <v>13</v>
      </c>
    </row>
    <row r="82" spans="1:6" x14ac:dyDescent="0.2">
      <c r="A82" t="s">
        <v>41</v>
      </c>
      <c r="B82">
        <v>6</v>
      </c>
      <c r="C82" t="s">
        <v>32</v>
      </c>
      <c r="D82" t="s">
        <v>16</v>
      </c>
      <c r="E82">
        <v>600.004992008209</v>
      </c>
      <c r="F82">
        <v>95</v>
      </c>
    </row>
    <row r="83" spans="1:6" x14ac:dyDescent="0.2">
      <c r="A83" t="s">
        <v>0</v>
      </c>
      <c r="B83" t="s">
        <v>10</v>
      </c>
      <c r="C83" t="s">
        <v>11</v>
      </c>
      <c r="D83" t="s">
        <v>12</v>
      </c>
      <c r="E83" t="s">
        <v>13</v>
      </c>
    </row>
    <row r="84" spans="1:6" x14ac:dyDescent="0.2">
      <c r="A84" t="s">
        <v>41</v>
      </c>
      <c r="B84">
        <v>8</v>
      </c>
      <c r="C84" t="s">
        <v>32</v>
      </c>
      <c r="D84" t="s">
        <v>16</v>
      </c>
      <c r="E84">
        <v>600.00810909271195</v>
      </c>
      <c r="F84">
        <v>85</v>
      </c>
    </row>
    <row r="85" spans="1:6" x14ac:dyDescent="0.2">
      <c r="A85" t="s">
        <v>0</v>
      </c>
      <c r="B85" t="s">
        <v>10</v>
      </c>
      <c r="C85" t="s">
        <v>11</v>
      </c>
      <c r="D85" t="s">
        <v>12</v>
      </c>
      <c r="E85" t="s">
        <v>13</v>
      </c>
    </row>
    <row r="86" spans="1:6" x14ac:dyDescent="0.2">
      <c r="A86" t="s">
        <v>41</v>
      </c>
      <c r="B86">
        <v>10</v>
      </c>
      <c r="C86" t="s">
        <v>32</v>
      </c>
      <c r="D86" t="s">
        <v>16</v>
      </c>
      <c r="E86">
        <v>600.00959897041298</v>
      </c>
      <c r="F86">
        <v>92</v>
      </c>
    </row>
    <row r="87" spans="1:6" x14ac:dyDescent="0.2">
      <c r="A87" t="s">
        <v>0</v>
      </c>
      <c r="B87" t="s">
        <v>10</v>
      </c>
      <c r="C87" t="s">
        <v>11</v>
      </c>
      <c r="D87" t="s">
        <v>12</v>
      </c>
      <c r="E87" t="s">
        <v>13</v>
      </c>
    </row>
    <row r="88" spans="1:6" x14ac:dyDescent="0.2">
      <c r="A88" t="s">
        <v>41</v>
      </c>
      <c r="B88">
        <v>12</v>
      </c>
      <c r="C88" t="s">
        <v>32</v>
      </c>
      <c r="D88" t="s">
        <v>16</v>
      </c>
      <c r="E88">
        <v>600.02759909629799</v>
      </c>
      <c r="F88">
        <v>122</v>
      </c>
    </row>
    <row r="89" spans="1:6" x14ac:dyDescent="0.2">
      <c r="A89" t="s">
        <v>0</v>
      </c>
      <c r="B89" t="s">
        <v>10</v>
      </c>
      <c r="C89" t="s">
        <v>11</v>
      </c>
      <c r="D89" t="s">
        <v>12</v>
      </c>
      <c r="E89" t="s">
        <v>13</v>
      </c>
    </row>
    <row r="90" spans="1:6" x14ac:dyDescent="0.2">
      <c r="A90" t="s">
        <v>41</v>
      </c>
      <c r="B90">
        <v>300</v>
      </c>
      <c r="C90" t="s">
        <v>32</v>
      </c>
      <c r="D90" t="s">
        <v>16</v>
      </c>
      <c r="E90">
        <v>600.00886702537503</v>
      </c>
      <c r="F90">
        <v>129</v>
      </c>
    </row>
    <row r="91" spans="1:6" x14ac:dyDescent="0.2">
      <c r="A91" t="s">
        <v>0</v>
      </c>
      <c r="B91" t="s">
        <v>10</v>
      </c>
      <c r="C91" t="s">
        <v>11</v>
      </c>
      <c r="D91" t="s">
        <v>12</v>
      </c>
      <c r="E91" t="s">
        <v>13</v>
      </c>
    </row>
    <row r="92" spans="1:6" x14ac:dyDescent="0.2">
      <c r="A92" t="s">
        <v>42</v>
      </c>
      <c r="B92">
        <v>6</v>
      </c>
      <c r="C92" t="s">
        <v>32</v>
      </c>
      <c r="D92" t="s">
        <v>16</v>
      </c>
      <c r="E92">
        <v>600.028189897537</v>
      </c>
      <c r="F92">
        <v>93</v>
      </c>
    </row>
    <row r="93" spans="1:6" x14ac:dyDescent="0.2">
      <c r="A93" t="s">
        <v>0</v>
      </c>
      <c r="B93" t="s">
        <v>10</v>
      </c>
      <c r="C93" t="s">
        <v>11</v>
      </c>
      <c r="D93" t="s">
        <v>12</v>
      </c>
      <c r="E93" t="s">
        <v>13</v>
      </c>
    </row>
    <row r="94" spans="1:6" x14ac:dyDescent="0.2">
      <c r="A94" t="s">
        <v>42</v>
      </c>
      <c r="B94">
        <v>8</v>
      </c>
      <c r="C94" t="s">
        <v>32</v>
      </c>
      <c r="D94" t="s">
        <v>16</v>
      </c>
      <c r="E94">
        <v>600.02184987068097</v>
      </c>
      <c r="F94">
        <v>88</v>
      </c>
    </row>
    <row r="95" spans="1:6" x14ac:dyDescent="0.2">
      <c r="A95" t="s">
        <v>0</v>
      </c>
      <c r="B95" t="s">
        <v>10</v>
      </c>
      <c r="C95" t="s">
        <v>11</v>
      </c>
      <c r="D95" t="s">
        <v>12</v>
      </c>
      <c r="E95" t="s">
        <v>13</v>
      </c>
    </row>
    <row r="96" spans="1:6" x14ac:dyDescent="0.2">
      <c r="A96" t="s">
        <v>42</v>
      </c>
      <c r="B96">
        <v>10</v>
      </c>
      <c r="C96" t="s">
        <v>32</v>
      </c>
      <c r="D96" t="s">
        <v>16</v>
      </c>
      <c r="E96">
        <v>600.01435089111305</v>
      </c>
      <c r="F96">
        <v>107</v>
      </c>
    </row>
    <row r="97" spans="1:6" x14ac:dyDescent="0.2">
      <c r="A97" t="s">
        <v>0</v>
      </c>
      <c r="B97" t="s">
        <v>10</v>
      </c>
      <c r="C97" t="s">
        <v>11</v>
      </c>
      <c r="D97" t="s">
        <v>12</v>
      </c>
      <c r="E97" t="s">
        <v>13</v>
      </c>
    </row>
    <row r="98" spans="1:6" x14ac:dyDescent="0.2">
      <c r="A98" t="s">
        <v>42</v>
      </c>
      <c r="B98">
        <v>12</v>
      </c>
      <c r="C98" t="s">
        <v>32</v>
      </c>
      <c r="D98" t="s">
        <v>16</v>
      </c>
      <c r="E98">
        <v>600.00408101081803</v>
      </c>
      <c r="F98">
        <v>140</v>
      </c>
    </row>
    <row r="99" spans="1:6" x14ac:dyDescent="0.2">
      <c r="A99" t="s">
        <v>0</v>
      </c>
      <c r="B99" t="s">
        <v>10</v>
      </c>
      <c r="C99" t="s">
        <v>11</v>
      </c>
      <c r="D99" t="s">
        <v>12</v>
      </c>
      <c r="E99" t="s">
        <v>13</v>
      </c>
    </row>
    <row r="100" spans="1:6" x14ac:dyDescent="0.2">
      <c r="A100" t="s">
        <v>42</v>
      </c>
      <c r="B100">
        <v>300</v>
      </c>
      <c r="C100" t="s">
        <v>32</v>
      </c>
      <c r="D100" t="s">
        <v>16</v>
      </c>
      <c r="E100">
        <v>600.00777101516701</v>
      </c>
      <c r="F100">
        <v>96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EC47-8998-EF45-86F3-E6CB7E9D0E46}">
  <dimension ref="A1:Q372"/>
  <sheetViews>
    <sheetView topLeftCell="A30" zoomScale="174" workbookViewId="0">
      <selection activeCell="A41" sqref="A41:F100"/>
    </sheetView>
  </sheetViews>
  <sheetFormatPr baseColWidth="10" defaultRowHeight="16" x14ac:dyDescent="0.2"/>
  <cols>
    <col min="6" max="6" width="10.1640625" bestFit="1" customWidth="1"/>
    <col min="7" max="7" width="5.1640625" bestFit="1" customWidth="1"/>
    <col min="14" max="14" width="11.1640625" bestFit="1" customWidth="1"/>
    <col min="15" max="15" width="12.83203125" bestFit="1" customWidth="1"/>
    <col min="17" max="17" width="43.5" bestFit="1" customWidth="1"/>
  </cols>
  <sheetData>
    <row r="1" spans="1:17" x14ac:dyDescent="0.2">
      <c r="A1" t="s">
        <v>0</v>
      </c>
      <c r="B1" t="s">
        <v>10</v>
      </c>
      <c r="C1" t="s">
        <v>11</v>
      </c>
      <c r="D1" t="s">
        <v>12</v>
      </c>
      <c r="E1" t="s">
        <v>13</v>
      </c>
      <c r="H1" t="s">
        <v>6</v>
      </c>
      <c r="I1" t="s">
        <v>29</v>
      </c>
    </row>
    <row r="2" spans="1:17" x14ac:dyDescent="0.2">
      <c r="A2" t="s">
        <v>43</v>
      </c>
      <c r="B2">
        <v>6</v>
      </c>
      <c r="C2" t="s">
        <v>32</v>
      </c>
      <c r="D2" t="s">
        <v>16</v>
      </c>
      <c r="E2">
        <v>600.01973700523297</v>
      </c>
      <c r="F2">
        <v>58</v>
      </c>
      <c r="K2" t="s">
        <v>1</v>
      </c>
      <c r="N2" t="s">
        <v>8</v>
      </c>
      <c r="O2" t="s">
        <v>4</v>
      </c>
      <c r="Q2" t="s">
        <v>9</v>
      </c>
    </row>
    <row r="3" spans="1:17" x14ac:dyDescent="0.2">
      <c r="A3" t="s">
        <v>0</v>
      </c>
      <c r="B3" t="s">
        <v>10</v>
      </c>
      <c r="C3" t="s">
        <v>11</v>
      </c>
      <c r="D3" t="s">
        <v>12</v>
      </c>
      <c r="E3" t="s">
        <v>13</v>
      </c>
      <c r="I3" t="s">
        <v>0</v>
      </c>
      <c r="J3" t="s">
        <v>5</v>
      </c>
      <c r="K3" t="s">
        <v>3</v>
      </c>
      <c r="L3" t="s">
        <v>2</v>
      </c>
    </row>
    <row r="4" spans="1:17" x14ac:dyDescent="0.2">
      <c r="A4" t="s">
        <v>43</v>
      </c>
      <c r="B4">
        <v>8</v>
      </c>
      <c r="C4" t="s">
        <v>32</v>
      </c>
      <c r="D4" t="s">
        <v>16</v>
      </c>
      <c r="E4">
        <v>600.08536291122402</v>
      </c>
      <c r="F4">
        <v>50</v>
      </c>
      <c r="I4" t="str">
        <f>CONCATENATE($I$1,"1")</f>
        <v>pard400_1</v>
      </c>
      <c r="J4">
        <v>6</v>
      </c>
      <c r="K4">
        <f t="shared" ref="K4:K35" si="0">SUMIFS(E:E,A:A,I4,B:B,J4,D:D,"CPLEX MISOCP")</f>
        <v>600.01973700523297</v>
      </c>
      <c r="L4">
        <f t="shared" ref="L4:L35" si="1">SUMIFS(F:F,A:A,I4,B:B,J4,D:D,"CPLEX MISOCP")</f>
        <v>58</v>
      </c>
      <c r="N4">
        <f t="shared" ref="N4:N35" si="2">COUNTIFS(D:D,"OA",B:B,J4,A:A,I4)</f>
        <v>0</v>
      </c>
      <c r="O4">
        <f t="shared" ref="O4:O35" si="3">COUNTIFS(D:D,"CPLEX MISOCP",B:B,J4,A:A,I4)</f>
        <v>1</v>
      </c>
      <c r="Q4" t="e">
        <f>CONCATENATE(I4," &amp; ",J4, " &amp; ", ROUND(#REF!,2), " &amp; ",#REF!, " &amp; ",#REF!, " &amp; ",  ROUND(#REF!,2), " &amp; ",#REF!, " &amp; ",#REF!, " &amp; ", ROUND(#REF!,2), " &amp; ",#REF!, " &amp; ",#REF!, " &amp; ",  ROUND(K4,2), " &amp; ", L4, "\\")</f>
        <v>#REF!</v>
      </c>
    </row>
    <row r="5" spans="1:17" x14ac:dyDescent="0.2">
      <c r="A5" t="s">
        <v>0</v>
      </c>
      <c r="B5" t="s">
        <v>10</v>
      </c>
      <c r="C5" t="s">
        <v>11</v>
      </c>
      <c r="D5" t="s">
        <v>12</v>
      </c>
      <c r="E5" t="s">
        <v>13</v>
      </c>
      <c r="I5" t="str">
        <f t="shared" ref="I5:I8" si="4">CONCATENATE($I$1,"1")</f>
        <v>pard400_1</v>
      </c>
      <c r="J5">
        <v>8</v>
      </c>
      <c r="K5">
        <f t="shared" si="0"/>
        <v>600.08536291122402</v>
      </c>
      <c r="L5">
        <f t="shared" si="1"/>
        <v>50</v>
      </c>
      <c r="N5">
        <f t="shared" si="2"/>
        <v>0</v>
      </c>
      <c r="O5">
        <f t="shared" si="3"/>
        <v>1</v>
      </c>
      <c r="Q5" t="e">
        <f>CONCATENATE(I5," &amp; ",J5, " &amp; ", ROUND(#REF!,2), " &amp; ",#REF!, " &amp; ",#REF!, " &amp; ",  ROUND(#REF!,2), " &amp; ",#REF!, " &amp; ",#REF!, " &amp; ", ROUND(#REF!,2), " &amp; ",#REF!, " &amp; ",#REF!, " &amp; ",  ROUND(K5,2), " &amp; ", L5, "\\")</f>
        <v>#REF!</v>
      </c>
    </row>
    <row r="6" spans="1:17" x14ac:dyDescent="0.2">
      <c r="A6" t="s">
        <v>43</v>
      </c>
      <c r="B6">
        <v>10</v>
      </c>
      <c r="C6" t="s">
        <v>32</v>
      </c>
      <c r="D6" t="s">
        <v>16</v>
      </c>
      <c r="E6">
        <v>600.02595305442799</v>
      </c>
      <c r="F6">
        <v>42</v>
      </c>
      <c r="I6" t="str">
        <f t="shared" si="4"/>
        <v>pard400_1</v>
      </c>
      <c r="J6">
        <v>10</v>
      </c>
      <c r="K6">
        <f t="shared" si="0"/>
        <v>600.02595305442799</v>
      </c>
      <c r="L6">
        <f t="shared" si="1"/>
        <v>42</v>
      </c>
      <c r="N6">
        <f t="shared" si="2"/>
        <v>0</v>
      </c>
      <c r="O6">
        <f t="shared" si="3"/>
        <v>1</v>
      </c>
      <c r="Q6" t="e">
        <f>CONCATENATE(I6," &amp; ",J6, " &amp; ", ROUND(#REF!,2), " &amp; ",#REF!, " &amp; ",#REF!, " &amp; ",  ROUND(#REF!,2), " &amp; ",#REF!, " &amp; ",#REF!, " &amp; ", ROUND(#REF!,2), " &amp; ",#REF!, " &amp; ",#REF!, " &amp; ",  ROUND(K6,2), " &amp; ", L6, "\\")</f>
        <v>#REF!</v>
      </c>
    </row>
    <row r="7" spans="1:17" x14ac:dyDescent="0.2">
      <c r="A7" t="s">
        <v>0</v>
      </c>
      <c r="B7" t="s">
        <v>10</v>
      </c>
      <c r="C7" t="s">
        <v>11</v>
      </c>
      <c r="D7" t="s">
        <v>12</v>
      </c>
      <c r="E7" t="s">
        <v>13</v>
      </c>
      <c r="I7" t="str">
        <f t="shared" si="4"/>
        <v>pard400_1</v>
      </c>
      <c r="J7">
        <v>12</v>
      </c>
      <c r="K7">
        <f t="shared" si="0"/>
        <v>600.03350210189797</v>
      </c>
      <c r="L7">
        <f t="shared" si="1"/>
        <v>70</v>
      </c>
      <c r="N7">
        <f t="shared" si="2"/>
        <v>0</v>
      </c>
      <c r="O7">
        <f t="shared" si="3"/>
        <v>1</v>
      </c>
      <c r="Q7" t="e">
        <f>CONCATENATE(I7," &amp; ",J7, " &amp; ", ROUND(#REF!,2), " &amp; ",#REF!, " &amp; ",#REF!, " &amp; ",  ROUND(#REF!,2), " &amp; ",#REF!, " &amp; ",#REF!, " &amp; ", ROUND(#REF!,2), " &amp; ",#REF!, " &amp; ",#REF!, " &amp; ",  ROUND(K7,2), " &amp; ", L7, "\\")</f>
        <v>#REF!</v>
      </c>
    </row>
    <row r="8" spans="1:17" x14ac:dyDescent="0.2">
      <c r="A8" t="s">
        <v>43</v>
      </c>
      <c r="B8">
        <v>12</v>
      </c>
      <c r="C8" t="s">
        <v>32</v>
      </c>
      <c r="D8" t="s">
        <v>16</v>
      </c>
      <c r="E8">
        <v>600.03350210189797</v>
      </c>
      <c r="F8">
        <v>70</v>
      </c>
      <c r="I8" t="str">
        <f t="shared" si="4"/>
        <v>pard400_1</v>
      </c>
      <c r="J8">
        <v>400</v>
      </c>
      <c r="K8">
        <f t="shared" si="0"/>
        <v>600.00640606880097</v>
      </c>
      <c r="L8">
        <f t="shared" si="1"/>
        <v>49</v>
      </c>
      <c r="N8">
        <f t="shared" si="2"/>
        <v>0</v>
      </c>
      <c r="O8">
        <f t="shared" si="3"/>
        <v>1</v>
      </c>
      <c r="Q8" t="e">
        <f>CONCATENATE(I8," &amp; ","nc", " &amp; ", ROUND(#REF!,2), " &amp; ",#REF!, " &amp; ",#REF!, " &amp; ",  ROUND(#REF!,2), " &amp; ",#REF!, " &amp; ",#REF!, " &amp; ", ROUND(#REF!,2), " &amp; ",#REF!, " &amp; ",#REF!, " &amp; ",  ROUND(K8,2), " &amp; ", L8, "\\")</f>
        <v>#REF!</v>
      </c>
    </row>
    <row r="9" spans="1:17" x14ac:dyDescent="0.2">
      <c r="A9" t="s">
        <v>0</v>
      </c>
      <c r="B9" t="s">
        <v>10</v>
      </c>
      <c r="C9" t="s">
        <v>11</v>
      </c>
      <c r="D9" t="s">
        <v>12</v>
      </c>
      <c r="E9" t="s">
        <v>13</v>
      </c>
      <c r="I9" t="str">
        <f>CONCATENATE($I$1,"2")</f>
        <v>pard400_2</v>
      </c>
      <c r="J9">
        <v>6</v>
      </c>
      <c r="K9">
        <f t="shared" si="0"/>
        <v>293.38166499137799</v>
      </c>
      <c r="L9">
        <f t="shared" si="1"/>
        <v>17</v>
      </c>
      <c r="N9">
        <f t="shared" si="2"/>
        <v>0</v>
      </c>
      <c r="O9">
        <f t="shared" si="3"/>
        <v>1</v>
      </c>
      <c r="Q9" t="e">
        <f>CONCATENATE(I9," &amp; ",J9, " &amp; ", ROUND(#REF!,2), " &amp; ",#REF!, " &amp; ",#REF!, " &amp; ",  ROUND(#REF!,2), " &amp; ",#REF!, " &amp; ",#REF!, " &amp; ", ROUND(#REF!,2), " &amp; ",#REF!, " &amp; ",#REF!, " &amp; ",  ROUND(K9,2), " &amp; ", L9, "\\")</f>
        <v>#REF!</v>
      </c>
    </row>
    <row r="10" spans="1:17" x14ac:dyDescent="0.2">
      <c r="A10" t="s">
        <v>43</v>
      </c>
      <c r="B10">
        <v>400</v>
      </c>
      <c r="C10" t="s">
        <v>32</v>
      </c>
      <c r="D10" t="s">
        <v>16</v>
      </c>
      <c r="E10">
        <v>600.00640606880097</v>
      </c>
      <c r="F10">
        <v>49</v>
      </c>
      <c r="I10" t="str">
        <f t="shared" ref="I10:I13" si="5">CONCATENATE($I$1,"2")</f>
        <v>pard400_2</v>
      </c>
      <c r="J10">
        <v>8</v>
      </c>
      <c r="K10">
        <f t="shared" si="0"/>
        <v>600.01515793800297</v>
      </c>
      <c r="L10">
        <f t="shared" si="1"/>
        <v>60</v>
      </c>
      <c r="N10">
        <f t="shared" si="2"/>
        <v>0</v>
      </c>
      <c r="O10">
        <f t="shared" si="3"/>
        <v>1</v>
      </c>
      <c r="Q10" t="e">
        <f>CONCATENATE(I10," &amp; ",J10, " &amp; ", ROUND(#REF!,2), " &amp; ",#REF!, " &amp; ",#REF!, " &amp; ",  ROUND(#REF!,2), " &amp; ",#REF!, " &amp; ",#REF!, " &amp; ", ROUND(#REF!,2), " &amp; ",#REF!, " &amp; ",#REF!, " &amp; ",  ROUND(K10,2), " &amp; ", L10, "\\")</f>
        <v>#REF!</v>
      </c>
    </row>
    <row r="11" spans="1:17" x14ac:dyDescent="0.2">
      <c r="A11" t="s">
        <v>0</v>
      </c>
      <c r="B11" t="s">
        <v>10</v>
      </c>
      <c r="C11" t="s">
        <v>11</v>
      </c>
      <c r="D11" t="s">
        <v>12</v>
      </c>
      <c r="E11" t="s">
        <v>13</v>
      </c>
      <c r="I11" t="str">
        <f t="shared" si="5"/>
        <v>pard400_2</v>
      </c>
      <c r="J11">
        <v>10</v>
      </c>
      <c r="K11">
        <f t="shared" si="0"/>
        <v>223.42898297309799</v>
      </c>
      <c r="L11">
        <f t="shared" si="1"/>
        <v>23</v>
      </c>
      <c r="N11">
        <f t="shared" si="2"/>
        <v>0</v>
      </c>
      <c r="O11">
        <f t="shared" si="3"/>
        <v>1</v>
      </c>
      <c r="Q11" t="e">
        <f>CONCATENATE(I11," &amp; ",J11, " &amp; ", ROUND(#REF!,2), " &amp; ",#REF!, " &amp; ",#REF!, " &amp; ",  ROUND(#REF!,2), " &amp; ",#REF!, " &amp; ",#REF!, " &amp; ", ROUND(#REF!,2), " &amp; ",#REF!, " &amp; ",#REF!, " &amp; ",  ROUND(K11,2), " &amp; ", L11, "\\")</f>
        <v>#REF!</v>
      </c>
    </row>
    <row r="12" spans="1:17" x14ac:dyDescent="0.2">
      <c r="A12" t="s">
        <v>44</v>
      </c>
      <c r="B12">
        <v>6</v>
      </c>
      <c r="C12" t="s">
        <v>32</v>
      </c>
      <c r="D12" t="s">
        <v>16</v>
      </c>
      <c r="E12">
        <v>293.38166499137799</v>
      </c>
      <c r="F12">
        <v>17</v>
      </c>
      <c r="I12" t="str">
        <f t="shared" si="5"/>
        <v>pard400_2</v>
      </c>
      <c r="J12">
        <v>12</v>
      </c>
      <c r="K12">
        <f t="shared" si="0"/>
        <v>600.03559207916203</v>
      </c>
      <c r="L12">
        <f t="shared" si="1"/>
        <v>55</v>
      </c>
      <c r="N12">
        <f t="shared" si="2"/>
        <v>0</v>
      </c>
      <c r="O12">
        <f t="shared" si="3"/>
        <v>1</v>
      </c>
      <c r="Q12" t="e">
        <f>CONCATENATE(I12," &amp; ",J12, " &amp; ", ROUND(#REF!,2), " &amp; ",#REF!, " &amp; ",#REF!, " &amp; ",  ROUND(#REF!,2), " &amp; ",#REF!, " &amp; ",#REF!, " &amp; ", ROUND(#REF!,2), " &amp; ",#REF!, " &amp; ",#REF!, " &amp; ",  ROUND(K12,2), " &amp; ", L12, "\\")</f>
        <v>#REF!</v>
      </c>
    </row>
    <row r="13" spans="1:17" x14ac:dyDescent="0.2">
      <c r="A13" t="s">
        <v>0</v>
      </c>
      <c r="B13" t="s">
        <v>10</v>
      </c>
      <c r="C13" t="s">
        <v>11</v>
      </c>
      <c r="D13" t="s">
        <v>12</v>
      </c>
      <c r="E13" t="s">
        <v>13</v>
      </c>
      <c r="I13" t="str">
        <f t="shared" si="5"/>
        <v>pard400_2</v>
      </c>
      <c r="J13">
        <v>400</v>
      </c>
      <c r="K13">
        <f t="shared" si="0"/>
        <v>600.02722311019897</v>
      </c>
      <c r="L13">
        <f t="shared" si="1"/>
        <v>57</v>
      </c>
      <c r="N13">
        <f t="shared" si="2"/>
        <v>0</v>
      </c>
      <c r="O13">
        <f t="shared" si="3"/>
        <v>1</v>
      </c>
      <c r="Q13" t="e">
        <f>CONCATENATE(I13," &amp; ","nc", " &amp; ", ROUND(#REF!,2), " &amp; ",#REF!, " &amp; ",#REF!, " &amp; ",  ROUND(#REF!,2), " &amp; ",#REF!, " &amp; ",#REF!, " &amp; ", ROUND(#REF!,2), " &amp; ",#REF!, " &amp; ",#REF!, " &amp; ",  ROUND(K13,2), " &amp; ", L13, "\\")</f>
        <v>#REF!</v>
      </c>
    </row>
    <row r="14" spans="1:17" x14ac:dyDescent="0.2">
      <c r="A14" t="s">
        <v>44</v>
      </c>
      <c r="B14">
        <v>8</v>
      </c>
      <c r="C14" t="s">
        <v>32</v>
      </c>
      <c r="D14" t="s">
        <v>16</v>
      </c>
      <c r="E14">
        <v>600.01515793800297</v>
      </c>
      <c r="F14">
        <v>60</v>
      </c>
      <c r="I14" t="str">
        <f>CONCATENATE($I$1,"3")</f>
        <v>pard400_3</v>
      </c>
      <c r="J14">
        <v>6</v>
      </c>
      <c r="K14">
        <f t="shared" si="0"/>
        <v>600.16990900039605</v>
      </c>
      <c r="L14">
        <f t="shared" si="1"/>
        <v>48</v>
      </c>
      <c r="N14">
        <f t="shared" si="2"/>
        <v>0</v>
      </c>
      <c r="O14">
        <f t="shared" si="3"/>
        <v>1</v>
      </c>
      <c r="Q14" t="e">
        <f>CONCATENATE(I14," &amp; ",J14, " &amp; ", ROUND(#REF!,2), " &amp; ",#REF!, " &amp; ",#REF!, " &amp; ",  ROUND(#REF!,2), " &amp; ",#REF!, " &amp; ",#REF!, " &amp; ", ROUND(#REF!,2), " &amp; ",#REF!, " &amp; ",#REF!, " &amp; ",  ROUND(K14,2), " &amp; ", L14, "\\")</f>
        <v>#REF!</v>
      </c>
    </row>
    <row r="15" spans="1:17" x14ac:dyDescent="0.2">
      <c r="A15" t="s">
        <v>0</v>
      </c>
      <c r="B15" t="s">
        <v>10</v>
      </c>
      <c r="C15" t="s">
        <v>11</v>
      </c>
      <c r="D15" t="s">
        <v>12</v>
      </c>
      <c r="E15" t="s">
        <v>13</v>
      </c>
      <c r="I15" t="str">
        <f t="shared" ref="I15:I18" si="6">CONCATENATE($I$1,"3")</f>
        <v>pard400_3</v>
      </c>
      <c r="J15">
        <v>8</v>
      </c>
      <c r="K15">
        <f t="shared" si="0"/>
        <v>600.051353931427</v>
      </c>
      <c r="L15">
        <f t="shared" si="1"/>
        <v>45</v>
      </c>
      <c r="N15">
        <f t="shared" si="2"/>
        <v>0</v>
      </c>
      <c r="O15">
        <f t="shared" si="3"/>
        <v>1</v>
      </c>
      <c r="Q15" t="e">
        <f>CONCATENATE(I15," &amp; ",J15, " &amp; ", ROUND(#REF!,2), " &amp; ",#REF!, " &amp; ",#REF!, " &amp; ",  ROUND(#REF!,2), " &amp; ",#REF!, " &amp; ",#REF!, " &amp; ", ROUND(#REF!,2), " &amp; ",#REF!, " &amp; ",#REF!, " &amp; ",  ROUND(K15,2), " &amp; ", L15, "\\")</f>
        <v>#REF!</v>
      </c>
    </row>
    <row r="16" spans="1:17" x14ac:dyDescent="0.2">
      <c r="A16" t="s">
        <v>44</v>
      </c>
      <c r="B16">
        <v>10</v>
      </c>
      <c r="C16" t="s">
        <v>32</v>
      </c>
      <c r="D16" t="s">
        <v>16</v>
      </c>
      <c r="E16">
        <v>223.42898297309799</v>
      </c>
      <c r="F16">
        <v>23</v>
      </c>
      <c r="I16" t="str">
        <f t="shared" si="6"/>
        <v>pard400_3</v>
      </c>
      <c r="J16">
        <v>10</v>
      </c>
      <c r="K16">
        <f t="shared" si="0"/>
        <v>600.03405594825699</v>
      </c>
      <c r="L16">
        <f t="shared" si="1"/>
        <v>39</v>
      </c>
      <c r="N16">
        <f t="shared" si="2"/>
        <v>0</v>
      </c>
      <c r="O16">
        <f t="shared" si="3"/>
        <v>1</v>
      </c>
      <c r="Q16" t="e">
        <f>CONCATENATE(I16," &amp; ",J16, " &amp; ", ROUND(#REF!,2), " &amp; ",#REF!, " &amp; ",#REF!, " &amp; ",  ROUND(#REF!,2), " &amp; ",#REF!, " &amp; ",#REF!, " &amp; ", ROUND(#REF!,2), " &amp; ",#REF!, " &amp; ",#REF!, " &amp; ",  ROUND(K16,2), " &amp; ", L16, "\\")</f>
        <v>#REF!</v>
      </c>
    </row>
    <row r="17" spans="1:17" x14ac:dyDescent="0.2">
      <c r="A17" t="s">
        <v>0</v>
      </c>
      <c r="B17" t="s">
        <v>10</v>
      </c>
      <c r="C17" t="s">
        <v>11</v>
      </c>
      <c r="D17" t="s">
        <v>12</v>
      </c>
      <c r="E17" t="s">
        <v>13</v>
      </c>
      <c r="I17" t="str">
        <f t="shared" si="6"/>
        <v>pard400_3</v>
      </c>
      <c r="J17">
        <v>12</v>
      </c>
      <c r="K17">
        <f t="shared" si="0"/>
        <v>537.18502497673001</v>
      </c>
      <c r="L17">
        <f t="shared" si="1"/>
        <v>53</v>
      </c>
      <c r="N17">
        <f t="shared" si="2"/>
        <v>0</v>
      </c>
      <c r="O17">
        <f t="shared" si="3"/>
        <v>1</v>
      </c>
      <c r="Q17" t="e">
        <f>CONCATENATE(I17," &amp; ",J17, " &amp; ", ROUND(#REF!,2), " &amp; ",#REF!, " &amp; ",#REF!, " &amp; ",  ROUND(#REF!,2), " &amp; ",#REF!, " &amp; ",#REF!, " &amp; ", ROUND(#REF!,2), " &amp; ",#REF!, " &amp; ",#REF!, " &amp; ",  ROUND(K17,2), " &amp; ", L17, "\\")</f>
        <v>#REF!</v>
      </c>
    </row>
    <row r="18" spans="1:17" x14ac:dyDescent="0.2">
      <c r="A18" t="s">
        <v>44</v>
      </c>
      <c r="B18">
        <v>12</v>
      </c>
      <c r="C18" t="s">
        <v>32</v>
      </c>
      <c r="D18" t="s">
        <v>16</v>
      </c>
      <c r="E18">
        <v>600.03559207916203</v>
      </c>
      <c r="F18">
        <v>55</v>
      </c>
      <c r="I18" t="str">
        <f t="shared" si="6"/>
        <v>pard400_3</v>
      </c>
      <c r="J18">
        <v>400</v>
      </c>
      <c r="K18">
        <f t="shared" si="0"/>
        <v>600.007941961288</v>
      </c>
      <c r="L18">
        <f t="shared" si="1"/>
        <v>57</v>
      </c>
      <c r="N18">
        <f t="shared" si="2"/>
        <v>0</v>
      </c>
      <c r="O18">
        <f t="shared" si="3"/>
        <v>1</v>
      </c>
      <c r="Q18" t="e">
        <f>CONCATENATE(I18," &amp; ","nc", " &amp; ", ROUND(#REF!,2), " &amp; ",#REF!, " &amp; ",#REF!, " &amp; ",  ROUND(#REF!,2), " &amp; ",#REF!, " &amp; ",#REF!, " &amp; ", ROUND(#REF!,2), " &amp; ",#REF!, " &amp; ",#REF!, " &amp; ",  ROUND(K18,2), " &amp; ", L18, "\\")</f>
        <v>#REF!</v>
      </c>
    </row>
    <row r="19" spans="1:17" x14ac:dyDescent="0.2">
      <c r="A19" t="s">
        <v>0</v>
      </c>
      <c r="B19" t="s">
        <v>10</v>
      </c>
      <c r="C19" t="s">
        <v>11</v>
      </c>
      <c r="D19" t="s">
        <v>12</v>
      </c>
      <c r="E19" t="s">
        <v>13</v>
      </c>
      <c r="I19" t="str">
        <f>CONCATENATE($I$1,"4")</f>
        <v>pard400_4</v>
      </c>
      <c r="J19">
        <v>6</v>
      </c>
      <c r="K19">
        <f t="shared" si="0"/>
        <v>600.03510808944702</v>
      </c>
      <c r="L19">
        <f t="shared" si="1"/>
        <v>43</v>
      </c>
      <c r="N19">
        <f t="shared" si="2"/>
        <v>0</v>
      </c>
      <c r="O19">
        <f t="shared" si="3"/>
        <v>1</v>
      </c>
      <c r="Q19" t="e">
        <f>CONCATENATE(I19," &amp; ",J19, " &amp; ", ROUND(#REF!,2), " &amp; ",#REF!, " &amp; ",#REF!, " &amp; ",  ROUND(#REF!,2), " &amp; ",#REF!, " &amp; ",#REF!, " &amp; ", ROUND(#REF!,2), " &amp; ",#REF!, " &amp; ",#REF!, " &amp; ",  ROUND(K19,2), " &amp; ", L19, "\\")</f>
        <v>#REF!</v>
      </c>
    </row>
    <row r="20" spans="1:17" x14ac:dyDescent="0.2">
      <c r="A20" t="s">
        <v>44</v>
      </c>
      <c r="B20">
        <v>400</v>
      </c>
      <c r="C20" t="s">
        <v>32</v>
      </c>
      <c r="D20" t="s">
        <v>16</v>
      </c>
      <c r="E20">
        <v>600.02722311019897</v>
      </c>
      <c r="F20">
        <v>57</v>
      </c>
      <c r="I20" t="str">
        <f t="shared" ref="I20:I23" si="7">CONCATENATE($I$1,"4")</f>
        <v>pard400_4</v>
      </c>
      <c r="J20">
        <v>8</v>
      </c>
      <c r="K20">
        <f t="shared" si="0"/>
        <v>600.00857591629006</v>
      </c>
      <c r="L20">
        <f t="shared" si="1"/>
        <v>48</v>
      </c>
      <c r="N20">
        <f t="shared" si="2"/>
        <v>0</v>
      </c>
      <c r="O20">
        <f t="shared" si="3"/>
        <v>1</v>
      </c>
      <c r="Q20" t="e">
        <f>CONCATENATE(I20," &amp; ",J20, " &amp; ", ROUND(#REF!,2), " &amp; ",#REF!, " &amp; ",#REF!, " &amp; ",  ROUND(#REF!,2), " &amp; ",#REF!, " &amp; ",#REF!, " &amp; ", ROUND(#REF!,2), " &amp; ",#REF!, " &amp; ",#REF!, " &amp; ",  ROUND(K20,2), " &amp; ", L20, "\\")</f>
        <v>#REF!</v>
      </c>
    </row>
    <row r="21" spans="1:17" x14ac:dyDescent="0.2">
      <c r="A21" t="s">
        <v>0</v>
      </c>
      <c r="B21" t="s">
        <v>10</v>
      </c>
      <c r="C21" t="s">
        <v>11</v>
      </c>
      <c r="D21" t="s">
        <v>12</v>
      </c>
      <c r="E21" t="s">
        <v>13</v>
      </c>
      <c r="I21" s="2" t="str">
        <f t="shared" si="7"/>
        <v>pard400_4</v>
      </c>
      <c r="J21" s="2">
        <v>10</v>
      </c>
      <c r="K21" s="2">
        <f t="shared" si="0"/>
        <v>600.02888202667202</v>
      </c>
      <c r="L21" s="2">
        <f t="shared" si="1"/>
        <v>50</v>
      </c>
      <c r="N21">
        <f t="shared" si="2"/>
        <v>0</v>
      </c>
      <c r="O21">
        <f t="shared" si="3"/>
        <v>1</v>
      </c>
      <c r="Q21" t="e">
        <f>CONCATENATE(I21," &amp; ",J21, " &amp; ", ROUND(#REF!,2), " &amp; ",#REF!, " &amp; ",#REF!, " &amp; ",  ROUND(#REF!,2), " &amp; ",#REF!, " &amp; ",#REF!, " &amp; ", ROUND(#REF!,2), " &amp; ",#REF!, " &amp; ",#REF!, " &amp; ",  ROUND(K21,2), " &amp; ", L21, "\\")</f>
        <v>#REF!</v>
      </c>
    </row>
    <row r="22" spans="1:17" x14ac:dyDescent="0.2">
      <c r="A22" t="s">
        <v>45</v>
      </c>
      <c r="B22">
        <v>6</v>
      </c>
      <c r="C22" t="s">
        <v>32</v>
      </c>
      <c r="D22" t="s">
        <v>16</v>
      </c>
      <c r="E22">
        <v>600.16990900039605</v>
      </c>
      <c r="F22">
        <v>48</v>
      </c>
      <c r="I22" t="str">
        <f t="shared" si="7"/>
        <v>pard400_4</v>
      </c>
      <c r="J22">
        <v>12</v>
      </c>
      <c r="K22">
        <f t="shared" si="0"/>
        <v>600.01615905761696</v>
      </c>
      <c r="L22">
        <f t="shared" si="1"/>
        <v>54</v>
      </c>
      <c r="N22">
        <f t="shared" si="2"/>
        <v>0</v>
      </c>
      <c r="O22">
        <f t="shared" si="3"/>
        <v>1</v>
      </c>
      <c r="Q22" t="e">
        <f>CONCATENATE(I22," &amp; ",J22, " &amp; ", ROUND(#REF!,2), " &amp; ",#REF!, " &amp; ",#REF!, " &amp; ",  ROUND(#REF!,2), " &amp; ",#REF!, " &amp; ",#REF!, " &amp; ", ROUND(#REF!,2), " &amp; ",#REF!, " &amp; ",#REF!, " &amp; ",  ROUND(K22,2), " &amp; ", L22, "\\")</f>
        <v>#REF!</v>
      </c>
    </row>
    <row r="23" spans="1:17" x14ac:dyDescent="0.2">
      <c r="A23" t="s">
        <v>0</v>
      </c>
      <c r="B23" t="s">
        <v>10</v>
      </c>
      <c r="C23" t="s">
        <v>11</v>
      </c>
      <c r="D23" t="s">
        <v>12</v>
      </c>
      <c r="E23" t="s">
        <v>13</v>
      </c>
      <c r="I23" t="str">
        <f t="shared" si="7"/>
        <v>pard400_4</v>
      </c>
      <c r="J23">
        <v>400</v>
      </c>
      <c r="K23">
        <f t="shared" si="0"/>
        <v>600.11009502410798</v>
      </c>
      <c r="L23">
        <f t="shared" si="1"/>
        <v>53</v>
      </c>
      <c r="N23">
        <f t="shared" si="2"/>
        <v>0</v>
      </c>
      <c r="O23">
        <f t="shared" si="3"/>
        <v>1</v>
      </c>
      <c r="Q23" t="e">
        <f>CONCATENATE(I23," &amp; ","nc", " &amp; ", ROUND(#REF!,2), " &amp; ",#REF!, " &amp; ",#REF!, " &amp; ",  ROUND(#REF!,2), " &amp; ",#REF!, " &amp; ",#REF!, " &amp; ", ROUND(#REF!,2), " &amp; ",#REF!, " &amp; ",#REF!, " &amp; ",  ROUND(K23,2), " &amp; ", L23, "\\")</f>
        <v>#REF!</v>
      </c>
    </row>
    <row r="24" spans="1:17" x14ac:dyDescent="0.2">
      <c r="A24" t="s">
        <v>45</v>
      </c>
      <c r="B24">
        <v>8</v>
      </c>
      <c r="C24" t="s">
        <v>32</v>
      </c>
      <c r="D24" t="s">
        <v>16</v>
      </c>
      <c r="E24">
        <v>600.051353931427</v>
      </c>
      <c r="F24">
        <v>45</v>
      </c>
      <c r="I24" t="str">
        <f>CONCATENATE($I$1,"5")</f>
        <v>pard400_5</v>
      </c>
      <c r="J24">
        <v>6</v>
      </c>
      <c r="K24">
        <f t="shared" si="0"/>
        <v>600.02676701545704</v>
      </c>
      <c r="L24">
        <f t="shared" si="1"/>
        <v>45</v>
      </c>
      <c r="N24">
        <f t="shared" si="2"/>
        <v>0</v>
      </c>
      <c r="O24">
        <f t="shared" si="3"/>
        <v>1</v>
      </c>
      <c r="Q24" t="e">
        <f>CONCATENATE(I24," &amp; ",J24, " &amp; ", ROUND(#REF!,2), " &amp; ",#REF!, " &amp; ",#REF!, " &amp; ",  ROUND(#REF!,2), " &amp; ",#REF!, " &amp; ",#REF!, " &amp; ", ROUND(#REF!,2), " &amp; ",#REF!, " &amp; ",#REF!, " &amp; ",  ROUND(K24,2), " &amp; ", L24, "\\")</f>
        <v>#REF!</v>
      </c>
    </row>
    <row r="25" spans="1:17" x14ac:dyDescent="0.2">
      <c r="A25" t="s">
        <v>0</v>
      </c>
      <c r="B25" t="s">
        <v>10</v>
      </c>
      <c r="C25" t="s">
        <v>11</v>
      </c>
      <c r="D25" t="s">
        <v>12</v>
      </c>
      <c r="E25" t="s">
        <v>13</v>
      </c>
      <c r="I25" t="str">
        <f t="shared" ref="I25:I28" si="8">CONCATENATE($I$1,"5")</f>
        <v>pard400_5</v>
      </c>
      <c r="J25">
        <v>8</v>
      </c>
      <c r="K25">
        <f t="shared" si="0"/>
        <v>600.02172803878705</v>
      </c>
      <c r="L25">
        <f t="shared" si="1"/>
        <v>47</v>
      </c>
      <c r="N25">
        <f t="shared" si="2"/>
        <v>0</v>
      </c>
      <c r="O25">
        <f t="shared" si="3"/>
        <v>1</v>
      </c>
      <c r="Q25" t="e">
        <f>CONCATENATE(I25," &amp; ",J25, " &amp; ", ROUND(#REF!,2), " &amp; ",#REF!, " &amp; ",#REF!, " &amp; ",  ROUND(#REF!,2), " &amp; ",#REF!, " &amp; ",#REF!, " &amp; ", ROUND(#REF!,2), " &amp; ",#REF!, " &amp; ",#REF!, " &amp; ",  ROUND(K25,2), " &amp; ", L25, "\\")</f>
        <v>#REF!</v>
      </c>
    </row>
    <row r="26" spans="1:17" x14ac:dyDescent="0.2">
      <c r="A26" t="s">
        <v>45</v>
      </c>
      <c r="B26">
        <v>10</v>
      </c>
      <c r="C26" t="s">
        <v>32</v>
      </c>
      <c r="D26" t="s">
        <v>16</v>
      </c>
      <c r="E26">
        <v>600.03405594825699</v>
      </c>
      <c r="F26">
        <v>39</v>
      </c>
      <c r="I26" t="str">
        <f t="shared" si="8"/>
        <v>pard400_5</v>
      </c>
      <c r="J26">
        <v>10</v>
      </c>
      <c r="K26">
        <f t="shared" si="0"/>
        <v>600.01560902595497</v>
      </c>
      <c r="L26">
        <f t="shared" si="1"/>
        <v>58</v>
      </c>
      <c r="N26">
        <f t="shared" si="2"/>
        <v>0</v>
      </c>
      <c r="O26">
        <f t="shared" si="3"/>
        <v>1</v>
      </c>
      <c r="Q26" t="e">
        <f>CONCATENATE(I26," &amp; ",J26, " &amp; ", ROUND(#REF!,2), " &amp; ",#REF!, " &amp; ",#REF!, " &amp; ",  ROUND(#REF!,2), " &amp; ",#REF!, " &amp; ",#REF!, " &amp; ", ROUND(#REF!,2), " &amp; ",#REF!, " &amp; ",#REF!, " &amp; ",  ROUND(K26,2), " &amp; ", L26, "\\")</f>
        <v>#REF!</v>
      </c>
    </row>
    <row r="27" spans="1:17" x14ac:dyDescent="0.2">
      <c r="A27" t="s">
        <v>0</v>
      </c>
      <c r="B27" t="s">
        <v>10</v>
      </c>
      <c r="C27" t="s">
        <v>11</v>
      </c>
      <c r="D27" t="s">
        <v>12</v>
      </c>
      <c r="E27" t="s">
        <v>13</v>
      </c>
      <c r="I27" t="str">
        <f t="shared" si="8"/>
        <v>pard400_5</v>
      </c>
      <c r="J27">
        <v>12</v>
      </c>
      <c r="K27">
        <f t="shared" si="0"/>
        <v>600.04266881942704</v>
      </c>
      <c r="L27">
        <f t="shared" si="1"/>
        <v>60</v>
      </c>
      <c r="N27">
        <f t="shared" si="2"/>
        <v>0</v>
      </c>
      <c r="O27">
        <f t="shared" si="3"/>
        <v>1</v>
      </c>
      <c r="Q27" t="e">
        <f>CONCATENATE(I27," &amp; ",J27, " &amp; ", ROUND(#REF!,2), " &amp; ",#REF!, " &amp; ",#REF!, " &amp; ",  ROUND(#REF!,2), " &amp; ",#REF!, " &amp; ",#REF!, " &amp; ", ROUND(#REF!,2), " &amp; ",#REF!, " &amp; ",#REF!, " &amp; ",  ROUND(K27,2), " &amp; ", L27, "\\")</f>
        <v>#REF!</v>
      </c>
    </row>
    <row r="28" spans="1:17" x14ac:dyDescent="0.2">
      <c r="A28" t="s">
        <v>45</v>
      </c>
      <c r="B28">
        <v>12</v>
      </c>
      <c r="C28" t="s">
        <v>32</v>
      </c>
      <c r="D28" t="s">
        <v>16</v>
      </c>
      <c r="E28">
        <v>537.18502497673001</v>
      </c>
      <c r="F28">
        <v>53</v>
      </c>
      <c r="I28" t="str">
        <f t="shared" si="8"/>
        <v>pard400_5</v>
      </c>
      <c r="J28">
        <v>400</v>
      </c>
      <c r="K28">
        <f t="shared" si="0"/>
        <v>600.11009502410798</v>
      </c>
      <c r="L28">
        <f t="shared" si="1"/>
        <v>16</v>
      </c>
      <c r="N28">
        <f t="shared" si="2"/>
        <v>0</v>
      </c>
      <c r="O28">
        <f t="shared" si="3"/>
        <v>1</v>
      </c>
      <c r="Q28" t="e">
        <f>CONCATENATE(I28," &amp; ","nc", " &amp; ", ROUND(#REF!,2), " &amp; ",#REF!, " &amp; ",#REF!, " &amp; ",  ROUND(#REF!,2), " &amp; ",#REF!, " &amp; ",#REF!, " &amp; ", ROUND(#REF!,2), " &amp; ",#REF!, " &amp; ",#REF!, " &amp; ",  ROUND(K28,2), " &amp; ", L28, "\\")</f>
        <v>#REF!</v>
      </c>
    </row>
    <row r="29" spans="1:17" x14ac:dyDescent="0.2">
      <c r="A29" t="s">
        <v>0</v>
      </c>
      <c r="B29" t="s">
        <v>10</v>
      </c>
      <c r="C29" t="s">
        <v>11</v>
      </c>
      <c r="D29" t="s">
        <v>12</v>
      </c>
      <c r="E29" t="s">
        <v>13</v>
      </c>
      <c r="I29" t="str">
        <f>CONCATENATE($I$1,"6")</f>
        <v>pard400_6</v>
      </c>
      <c r="J29">
        <v>6</v>
      </c>
      <c r="K29">
        <f t="shared" si="0"/>
        <v>600.05046105384804</v>
      </c>
      <c r="L29">
        <f t="shared" si="1"/>
        <v>35</v>
      </c>
      <c r="N29">
        <f t="shared" si="2"/>
        <v>0</v>
      </c>
      <c r="O29">
        <f t="shared" si="3"/>
        <v>1</v>
      </c>
      <c r="Q29" t="e">
        <f>CONCATENATE(I29," &amp; ",J29, " &amp; ", ROUND(#REF!,2), " &amp; ",#REF!, " &amp; ",#REF!, " &amp; ",  ROUND(#REF!,2), " &amp; ",#REF!, " &amp; ",#REF!, " &amp; ", ROUND(#REF!,2), " &amp; ",#REF!, " &amp; ",#REF!, " &amp; ",  ROUND(K29,2), " &amp; ", L29, "\\")</f>
        <v>#REF!</v>
      </c>
    </row>
    <row r="30" spans="1:17" x14ac:dyDescent="0.2">
      <c r="A30" t="s">
        <v>45</v>
      </c>
      <c r="B30">
        <v>400</v>
      </c>
      <c r="C30" t="s">
        <v>32</v>
      </c>
      <c r="D30" t="s">
        <v>16</v>
      </c>
      <c r="E30">
        <v>600.007941961288</v>
      </c>
      <c r="F30">
        <v>57</v>
      </c>
      <c r="I30" t="str">
        <f t="shared" ref="I30:I33" si="9">CONCATENATE($I$1,"6")</f>
        <v>pard400_6</v>
      </c>
      <c r="J30">
        <v>8</v>
      </c>
      <c r="K30">
        <f t="shared" si="0"/>
        <v>233.07311010360701</v>
      </c>
      <c r="L30">
        <f t="shared" si="1"/>
        <v>17</v>
      </c>
      <c r="N30">
        <f t="shared" si="2"/>
        <v>0</v>
      </c>
      <c r="O30">
        <f t="shared" si="3"/>
        <v>1</v>
      </c>
      <c r="Q30" t="e">
        <f>CONCATENATE(I30," &amp; ",J30, " &amp; ", ROUND(#REF!,2), " &amp; ",#REF!, " &amp; ",#REF!, " &amp; ",  ROUND(#REF!,2), " &amp; ",#REF!, " &amp; ",#REF!, " &amp; ", ROUND(#REF!,2), " &amp; ",#REF!, " &amp; ",#REF!, " &amp; ",  ROUND(K30,2), " &amp; ", L30, "\\")</f>
        <v>#REF!</v>
      </c>
    </row>
    <row r="31" spans="1:17" x14ac:dyDescent="0.2">
      <c r="A31" t="s">
        <v>0</v>
      </c>
      <c r="B31" t="s">
        <v>10</v>
      </c>
      <c r="C31" t="s">
        <v>11</v>
      </c>
      <c r="D31" t="s">
        <v>12</v>
      </c>
      <c r="E31" t="s">
        <v>13</v>
      </c>
      <c r="I31" t="str">
        <f t="shared" si="9"/>
        <v>pard400_6</v>
      </c>
      <c r="J31">
        <v>10</v>
      </c>
      <c r="K31">
        <f t="shared" si="0"/>
        <v>600.01312899589504</v>
      </c>
      <c r="L31">
        <f t="shared" si="1"/>
        <v>53</v>
      </c>
      <c r="N31">
        <f t="shared" si="2"/>
        <v>0</v>
      </c>
      <c r="O31">
        <f t="shared" si="3"/>
        <v>1</v>
      </c>
      <c r="Q31" t="e">
        <f>CONCATENATE(I31," &amp; ",J31, " &amp; ", ROUND(#REF!,2), " &amp; ",#REF!, " &amp; ",#REF!, " &amp; ",  ROUND(#REF!,2), " &amp; ",#REF!, " &amp; ",#REF!, " &amp; ", ROUND(#REF!,2), " &amp; ",#REF!, " &amp; ",#REF!, " &amp; ",  ROUND(K31,2), " &amp; ", L31, "\\")</f>
        <v>#REF!</v>
      </c>
    </row>
    <row r="32" spans="1:17" x14ac:dyDescent="0.2">
      <c r="A32" t="s">
        <v>46</v>
      </c>
      <c r="B32">
        <v>6</v>
      </c>
      <c r="C32" t="s">
        <v>32</v>
      </c>
      <c r="D32" t="s">
        <v>16</v>
      </c>
      <c r="E32">
        <v>600.03510808944702</v>
      </c>
      <c r="F32">
        <v>43</v>
      </c>
      <c r="I32" t="str">
        <f t="shared" si="9"/>
        <v>pard400_6</v>
      </c>
      <c r="J32">
        <v>12</v>
      </c>
      <c r="K32">
        <f t="shared" si="0"/>
        <v>600.03408312797501</v>
      </c>
      <c r="L32">
        <f t="shared" si="1"/>
        <v>53</v>
      </c>
      <c r="N32">
        <f t="shared" si="2"/>
        <v>0</v>
      </c>
      <c r="O32">
        <f t="shared" si="3"/>
        <v>1</v>
      </c>
      <c r="Q32" t="e">
        <f>CONCATENATE(I32," &amp; ",J32, " &amp; ", ROUND(#REF!,2), " &amp; ",#REF!, " &amp; ",#REF!, " &amp; ",  ROUND(#REF!,2), " &amp; ",#REF!, " &amp; ",#REF!, " &amp; ", ROUND(#REF!,2), " &amp; ",#REF!, " &amp; ",#REF!, " &amp; ",  ROUND(K32,2), " &amp; ", L32, "\\")</f>
        <v>#REF!</v>
      </c>
    </row>
    <row r="33" spans="1:17" x14ac:dyDescent="0.2">
      <c r="A33" t="s">
        <v>0</v>
      </c>
      <c r="B33" t="s">
        <v>10</v>
      </c>
      <c r="C33" t="s">
        <v>11</v>
      </c>
      <c r="D33" t="s">
        <v>12</v>
      </c>
      <c r="E33" t="s">
        <v>13</v>
      </c>
      <c r="I33" t="str">
        <f t="shared" si="9"/>
        <v>pard400_6</v>
      </c>
      <c r="J33">
        <v>400</v>
      </c>
      <c r="K33">
        <f t="shared" si="0"/>
        <v>600.05974388122502</v>
      </c>
      <c r="L33">
        <f t="shared" si="1"/>
        <v>49</v>
      </c>
      <c r="N33">
        <f t="shared" si="2"/>
        <v>0</v>
      </c>
      <c r="O33">
        <f t="shared" si="3"/>
        <v>1</v>
      </c>
      <c r="Q33" t="e">
        <f>CONCATENATE(I33," &amp; ","nc", " &amp; ", ROUND(#REF!,2), " &amp; ",#REF!, " &amp; ",#REF!, " &amp; ",  ROUND(#REF!,2), " &amp; ",#REF!, " &amp; ",#REF!, " &amp; ", ROUND(#REF!,2), " &amp; ",#REF!, " &amp; ",#REF!, " &amp; ",  ROUND(K33,2), " &amp; ", L33, "\\")</f>
        <v>#REF!</v>
      </c>
    </row>
    <row r="34" spans="1:17" x14ac:dyDescent="0.2">
      <c r="A34" t="s">
        <v>46</v>
      </c>
      <c r="B34">
        <v>8</v>
      </c>
      <c r="C34" t="s">
        <v>32</v>
      </c>
      <c r="D34" t="s">
        <v>16</v>
      </c>
      <c r="E34">
        <v>600.00857591629006</v>
      </c>
      <c r="F34">
        <v>48</v>
      </c>
      <c r="I34" t="str">
        <f>CONCATENATE($I$1,"7")</f>
        <v>pard400_7</v>
      </c>
      <c r="J34">
        <v>6</v>
      </c>
      <c r="K34">
        <f t="shared" si="0"/>
        <v>600.01851582527104</v>
      </c>
      <c r="L34">
        <f t="shared" si="1"/>
        <v>46</v>
      </c>
      <c r="N34">
        <f t="shared" si="2"/>
        <v>0</v>
      </c>
      <c r="O34">
        <f t="shared" si="3"/>
        <v>1</v>
      </c>
      <c r="Q34" t="e">
        <f>CONCATENATE(I34," &amp; ",J34, " &amp; ", ROUND(#REF!,2), " &amp; ",#REF!, " &amp; ",#REF!, " &amp; ",  ROUND(#REF!,2), " &amp; ",#REF!, " &amp; ",#REF!, " &amp; ", ROUND(#REF!,2), " &amp; ",#REF!, " &amp; ",#REF!, " &amp; ",  ROUND(K34,2), " &amp; ", L34, "\\")</f>
        <v>#REF!</v>
      </c>
    </row>
    <row r="35" spans="1:17" x14ac:dyDescent="0.2">
      <c r="A35" t="s">
        <v>0</v>
      </c>
      <c r="B35" t="s">
        <v>10</v>
      </c>
      <c r="C35" t="s">
        <v>11</v>
      </c>
      <c r="D35" t="s">
        <v>12</v>
      </c>
      <c r="E35" t="s">
        <v>13</v>
      </c>
      <c r="I35" t="str">
        <f t="shared" ref="I35:I38" si="10">CONCATENATE($I$1,"7")</f>
        <v>pard400_7</v>
      </c>
      <c r="J35">
        <v>8</v>
      </c>
      <c r="K35">
        <f t="shared" si="0"/>
        <v>600.03135895728997</v>
      </c>
      <c r="L35">
        <f t="shared" si="1"/>
        <v>48</v>
      </c>
      <c r="N35">
        <f t="shared" si="2"/>
        <v>0</v>
      </c>
      <c r="O35">
        <f t="shared" si="3"/>
        <v>1</v>
      </c>
      <c r="Q35" t="e">
        <f>CONCATENATE(I35," &amp; ",J35, " &amp; ", ROUND(#REF!,2), " &amp; ",#REF!, " &amp; ",#REF!, " &amp; ",  ROUND(#REF!,2), " &amp; ",#REF!, " &amp; ",#REF!, " &amp; ", ROUND(#REF!,2), " &amp; ",#REF!, " &amp; ",#REF!, " &amp; ",  ROUND(K35,2), " &amp; ", L35, "\\")</f>
        <v>#REF!</v>
      </c>
    </row>
    <row r="36" spans="1:17" x14ac:dyDescent="0.2">
      <c r="A36" t="s">
        <v>46</v>
      </c>
      <c r="B36">
        <v>10</v>
      </c>
      <c r="C36" t="s">
        <v>32</v>
      </c>
      <c r="D36" t="s">
        <v>16</v>
      </c>
      <c r="E36">
        <v>600.02888202667202</v>
      </c>
      <c r="F36">
        <v>50</v>
      </c>
      <c r="I36" t="str">
        <f t="shared" si="10"/>
        <v>pard400_7</v>
      </c>
      <c r="J36">
        <v>10</v>
      </c>
      <c r="K36">
        <f t="shared" ref="K36:K67" si="11">SUMIFS(E:E,A:A,I36,B:B,J36,D:D,"CPLEX MISOCP")</f>
        <v>600.00863504409699</v>
      </c>
      <c r="L36">
        <f t="shared" ref="L36:L53" si="12">SUMIFS(F:F,A:A,I36,B:B,J36,D:D,"CPLEX MISOCP")</f>
        <v>59</v>
      </c>
      <c r="N36">
        <f t="shared" ref="N36:N53" si="13">COUNTIFS(D:D,"OA",B:B,J36,A:A,I36)</f>
        <v>0</v>
      </c>
      <c r="O36">
        <f t="shared" ref="O36:O53" si="14">COUNTIFS(D:D,"CPLEX MISOCP",B:B,J36,A:A,I36)</f>
        <v>1</v>
      </c>
      <c r="Q36" t="e">
        <f>CONCATENATE(I36," &amp; ",J36, " &amp; ", ROUND(#REF!,2), " &amp; ",#REF!, " &amp; ",#REF!, " &amp; ",  ROUND(#REF!,2), " &amp; ",#REF!, " &amp; ",#REF!, " &amp; ", ROUND(#REF!,2), " &amp; ",#REF!, " &amp; ",#REF!, " &amp; ",  ROUND(K36,2), " &amp; ", L36, "\\")</f>
        <v>#REF!</v>
      </c>
    </row>
    <row r="37" spans="1:17" x14ac:dyDescent="0.2">
      <c r="A37" t="s">
        <v>0</v>
      </c>
      <c r="B37" t="s">
        <v>10</v>
      </c>
      <c r="C37" t="s">
        <v>11</v>
      </c>
      <c r="D37" t="s">
        <v>12</v>
      </c>
      <c r="E37" t="s">
        <v>13</v>
      </c>
      <c r="I37" t="str">
        <f t="shared" si="10"/>
        <v>pard400_7</v>
      </c>
      <c r="J37">
        <v>12</v>
      </c>
      <c r="K37">
        <f t="shared" si="11"/>
        <v>600.01748895645096</v>
      </c>
      <c r="L37">
        <f t="shared" si="12"/>
        <v>66</v>
      </c>
      <c r="N37">
        <f t="shared" si="13"/>
        <v>0</v>
      </c>
      <c r="O37">
        <f t="shared" si="14"/>
        <v>1</v>
      </c>
      <c r="Q37" t="e">
        <f>CONCATENATE(I37," &amp; ",J37, " &amp; ", ROUND(#REF!,2), " &amp; ",#REF!, " &amp; ",#REF!, " &amp; ",  ROUND(#REF!,2), " &amp; ",#REF!, " &amp; ",#REF!, " &amp; ", ROUND(#REF!,2), " &amp; ",#REF!, " &amp; ",#REF!, " &amp; ",  ROUND(K37,2), " &amp; ", L37, "\\")</f>
        <v>#REF!</v>
      </c>
    </row>
    <row r="38" spans="1:17" x14ac:dyDescent="0.2">
      <c r="A38" t="s">
        <v>46</v>
      </c>
      <c r="B38">
        <v>12</v>
      </c>
      <c r="C38" t="s">
        <v>32</v>
      </c>
      <c r="D38" t="s">
        <v>16</v>
      </c>
      <c r="E38">
        <v>600.01615905761696</v>
      </c>
      <c r="F38">
        <v>54</v>
      </c>
      <c r="I38" t="str">
        <f t="shared" si="10"/>
        <v>pard400_7</v>
      </c>
      <c r="J38">
        <v>400</v>
      </c>
      <c r="K38">
        <f t="shared" si="11"/>
        <v>600.02619504928498</v>
      </c>
      <c r="L38">
        <f t="shared" si="12"/>
        <v>50</v>
      </c>
      <c r="N38">
        <f t="shared" si="13"/>
        <v>0</v>
      </c>
      <c r="O38">
        <f t="shared" si="14"/>
        <v>1</v>
      </c>
      <c r="Q38" t="e">
        <f>CONCATENATE(I38," &amp; ","nc", " &amp; ", ROUND(#REF!,2), " &amp; ",#REF!, " &amp; ",#REF!, " &amp; ",  ROUND(#REF!,2), " &amp; ",#REF!, " &amp; ",#REF!, " &amp; ", ROUND(#REF!,2), " &amp; ",#REF!, " &amp; ",#REF!, " &amp; ",  ROUND(K38,2), " &amp; ", L38, "\\")</f>
        <v>#REF!</v>
      </c>
    </row>
    <row r="39" spans="1:17" x14ac:dyDescent="0.2">
      <c r="A39" t="s">
        <v>0</v>
      </c>
      <c r="B39" t="s">
        <v>10</v>
      </c>
      <c r="C39" t="s">
        <v>11</v>
      </c>
      <c r="D39" t="s">
        <v>12</v>
      </c>
      <c r="E39" t="s">
        <v>13</v>
      </c>
      <c r="I39" t="str">
        <f>CONCATENATE($I$1,"8")</f>
        <v>pard400_8</v>
      </c>
      <c r="J39">
        <v>6</v>
      </c>
      <c r="K39">
        <f t="shared" si="11"/>
        <v>600.10259485244706</v>
      </c>
      <c r="L39">
        <f t="shared" si="12"/>
        <v>40</v>
      </c>
      <c r="N39">
        <f t="shared" si="13"/>
        <v>0</v>
      </c>
      <c r="O39">
        <f t="shared" si="14"/>
        <v>1</v>
      </c>
      <c r="Q39" t="e">
        <f>CONCATENATE(I39," &amp; ",J39, " &amp; ", ROUND(#REF!,2), " &amp; ",#REF!, " &amp; ",#REF!, " &amp; ",  ROUND(#REF!,2), " &amp; ",#REF!, " &amp; ",#REF!, " &amp; ", ROUND(#REF!,2), " &amp; ",#REF!, " &amp; ",#REF!, " &amp; ",  ROUND(K39,2), " &amp; ", L39, "\\")</f>
        <v>#REF!</v>
      </c>
    </row>
    <row r="40" spans="1:17" x14ac:dyDescent="0.2">
      <c r="A40" t="s">
        <v>46</v>
      </c>
      <c r="B40">
        <v>400</v>
      </c>
      <c r="C40" t="s">
        <v>32</v>
      </c>
      <c r="D40" t="s">
        <v>16</v>
      </c>
      <c r="E40">
        <v>600.11009502410798</v>
      </c>
      <c r="F40">
        <v>53</v>
      </c>
      <c r="I40" t="str">
        <f t="shared" ref="I40:I43" si="15">CONCATENATE($I$1,"8")</f>
        <v>pard400_8</v>
      </c>
      <c r="J40">
        <v>8</v>
      </c>
      <c r="K40">
        <f t="shared" si="11"/>
        <v>600.01347088813702</v>
      </c>
      <c r="L40">
        <f t="shared" si="12"/>
        <v>40</v>
      </c>
      <c r="N40">
        <f t="shared" si="13"/>
        <v>0</v>
      </c>
      <c r="O40">
        <f t="shared" si="14"/>
        <v>1</v>
      </c>
      <c r="Q40" t="e">
        <f>CONCATENATE(I40," &amp; ",J40, " &amp; ", ROUND(#REF!,2), " &amp; ",#REF!, " &amp; ",#REF!, " &amp; ",  ROUND(#REF!,2), " &amp; ",#REF!, " &amp; ",#REF!, " &amp; ", ROUND(#REF!,2), " &amp; ",#REF!, " &amp; ",#REF!, " &amp; ",  ROUND(K40,2), " &amp; ", L40, "\\")</f>
        <v>#REF!</v>
      </c>
    </row>
    <row r="41" spans="1:17" x14ac:dyDescent="0.2">
      <c r="A41" t="s">
        <v>0</v>
      </c>
      <c r="B41" t="s">
        <v>10</v>
      </c>
      <c r="C41" t="s">
        <v>11</v>
      </c>
      <c r="D41" t="s">
        <v>12</v>
      </c>
      <c r="E41" t="s">
        <v>13</v>
      </c>
      <c r="I41" t="str">
        <f t="shared" si="15"/>
        <v>pard400_8</v>
      </c>
      <c r="J41">
        <v>10</v>
      </c>
      <c r="K41">
        <f t="shared" si="11"/>
        <v>600.06944799423195</v>
      </c>
      <c r="L41">
        <f t="shared" si="12"/>
        <v>49</v>
      </c>
      <c r="N41">
        <f t="shared" si="13"/>
        <v>0</v>
      </c>
      <c r="O41">
        <f t="shared" si="14"/>
        <v>1</v>
      </c>
      <c r="Q41" t="e">
        <f>CONCATENATE(I41," &amp; ",J41, " &amp; ", ROUND(#REF!,2), " &amp; ",#REF!, " &amp; ",#REF!, " &amp; ",  ROUND(#REF!,2), " &amp; ",#REF!, " &amp; ",#REF!, " &amp; ", ROUND(#REF!,2), " &amp; ",#REF!, " &amp; ",#REF!, " &amp; ",  ROUND(K41,2), " &amp; ", L41, "\\")</f>
        <v>#REF!</v>
      </c>
    </row>
    <row r="42" spans="1:17" x14ac:dyDescent="0.2">
      <c r="A42" t="s">
        <v>47</v>
      </c>
      <c r="B42">
        <v>6</v>
      </c>
      <c r="C42" t="s">
        <v>32</v>
      </c>
      <c r="D42" t="s">
        <v>16</v>
      </c>
      <c r="E42">
        <v>600.02676701545704</v>
      </c>
      <c r="F42">
        <v>45</v>
      </c>
      <c r="I42" t="str">
        <f t="shared" si="15"/>
        <v>pard400_8</v>
      </c>
      <c r="J42">
        <v>12</v>
      </c>
      <c r="K42">
        <f t="shared" si="11"/>
        <v>600.16498494148198</v>
      </c>
      <c r="L42">
        <f t="shared" si="12"/>
        <v>50</v>
      </c>
      <c r="N42">
        <f t="shared" si="13"/>
        <v>0</v>
      </c>
      <c r="O42">
        <f t="shared" si="14"/>
        <v>1</v>
      </c>
      <c r="Q42" t="e">
        <f>CONCATENATE(I42," &amp; ",J42, " &amp; ", ROUND(#REF!,2), " &amp; ",#REF!, " &amp; ",#REF!, " &amp; ",  ROUND(#REF!,2), " &amp; ",#REF!, " &amp; ",#REF!, " &amp; ", ROUND(#REF!,2), " &amp; ",#REF!, " &amp; ",#REF!, " &amp; ",  ROUND(K42,2), " &amp; ", L42, "\\")</f>
        <v>#REF!</v>
      </c>
    </row>
    <row r="43" spans="1:17" x14ac:dyDescent="0.2">
      <c r="A43" t="s">
        <v>0</v>
      </c>
      <c r="B43" t="s">
        <v>10</v>
      </c>
      <c r="C43" t="s">
        <v>11</v>
      </c>
      <c r="D43" t="s">
        <v>12</v>
      </c>
      <c r="E43" t="s">
        <v>13</v>
      </c>
      <c r="I43" t="str">
        <f t="shared" si="15"/>
        <v>pard400_8</v>
      </c>
      <c r="J43">
        <v>400</v>
      </c>
      <c r="K43">
        <f t="shared" si="11"/>
        <v>600.04160499572697</v>
      </c>
      <c r="L43">
        <f t="shared" si="12"/>
        <v>12</v>
      </c>
      <c r="N43">
        <f t="shared" si="13"/>
        <v>0</v>
      </c>
      <c r="O43">
        <f t="shared" si="14"/>
        <v>1</v>
      </c>
      <c r="Q43" t="e">
        <f>CONCATENATE(I43," &amp; ","nc", " &amp; ", ROUND(#REF!,2), " &amp; ",#REF!, " &amp; ",#REF!, " &amp; ",  ROUND(#REF!,2), " &amp; ",#REF!, " &amp; ",#REF!, " &amp; ", ROUND(#REF!,2), " &amp; ",#REF!, " &amp; ",#REF!, " &amp; ",  ROUND(K43,2), " &amp; ", L43, "\\")</f>
        <v>#REF!</v>
      </c>
    </row>
    <row r="44" spans="1:17" x14ac:dyDescent="0.2">
      <c r="A44" t="s">
        <v>47</v>
      </c>
      <c r="B44">
        <v>8</v>
      </c>
      <c r="C44" t="s">
        <v>32</v>
      </c>
      <c r="D44" t="s">
        <v>16</v>
      </c>
      <c r="E44">
        <v>600.02172803878705</v>
      </c>
      <c r="F44">
        <v>47</v>
      </c>
      <c r="I44" t="str">
        <f>CONCATENATE($I$1,"9")</f>
        <v>pard400_9</v>
      </c>
      <c r="J44">
        <v>6</v>
      </c>
      <c r="K44">
        <f t="shared" si="11"/>
        <v>600.04160499572697</v>
      </c>
      <c r="L44">
        <f t="shared" si="12"/>
        <v>41</v>
      </c>
      <c r="N44">
        <f t="shared" si="13"/>
        <v>0</v>
      </c>
      <c r="O44">
        <f t="shared" si="14"/>
        <v>1</v>
      </c>
      <c r="Q44" t="e">
        <f>CONCATENATE(I44," &amp; ",J44, " &amp; ", ROUND(#REF!,2), " &amp; ",#REF!, " &amp; ",#REF!, " &amp; ",  ROUND(#REF!,2), " &amp; ",#REF!, " &amp; ",#REF!, " &amp; ", ROUND(#REF!,2), " &amp; ",#REF!, " &amp; ",#REF!, " &amp; ",  ROUND(K44,2), " &amp; ", L44, "\\")</f>
        <v>#REF!</v>
      </c>
    </row>
    <row r="45" spans="1:17" x14ac:dyDescent="0.2">
      <c r="A45" t="s">
        <v>0</v>
      </c>
      <c r="B45" t="s">
        <v>10</v>
      </c>
      <c r="C45" t="s">
        <v>11</v>
      </c>
      <c r="D45" t="s">
        <v>12</v>
      </c>
      <c r="E45" t="s">
        <v>13</v>
      </c>
      <c r="I45" t="str">
        <f t="shared" ref="I45:I48" si="16">CONCATENATE($I$1,"9")</f>
        <v>pard400_9</v>
      </c>
      <c r="J45">
        <v>8</v>
      </c>
      <c r="K45">
        <f t="shared" si="11"/>
        <v>600.01122689247097</v>
      </c>
      <c r="L45">
        <f t="shared" si="12"/>
        <v>50</v>
      </c>
      <c r="N45">
        <f t="shared" si="13"/>
        <v>0</v>
      </c>
      <c r="O45">
        <f t="shared" si="14"/>
        <v>1</v>
      </c>
      <c r="Q45" t="e">
        <f>CONCATENATE(I45," &amp; ",J45, " &amp; ", ROUND(#REF!,2), " &amp; ",#REF!, " &amp; ",#REF!, " &amp; ",  ROUND(#REF!,2), " &amp; ",#REF!, " &amp; ",#REF!, " &amp; ", ROUND(#REF!,2), " &amp; ",#REF!, " &amp; ",#REF!, " &amp; ",  ROUND(K45,2), " &amp; ", L45, "\\")</f>
        <v>#REF!</v>
      </c>
    </row>
    <row r="46" spans="1:17" x14ac:dyDescent="0.2">
      <c r="A46" t="s">
        <v>47</v>
      </c>
      <c r="B46">
        <v>10</v>
      </c>
      <c r="C46" t="s">
        <v>32</v>
      </c>
      <c r="D46" t="s">
        <v>16</v>
      </c>
      <c r="E46">
        <v>600.01560902595497</v>
      </c>
      <c r="F46">
        <v>58</v>
      </c>
      <c r="I46" t="str">
        <f t="shared" si="16"/>
        <v>pard400_9</v>
      </c>
      <c r="J46">
        <v>10</v>
      </c>
      <c r="K46">
        <f t="shared" si="11"/>
        <v>600.02538108825604</v>
      </c>
      <c r="L46">
        <f t="shared" si="12"/>
        <v>37</v>
      </c>
      <c r="N46">
        <f t="shared" si="13"/>
        <v>0</v>
      </c>
      <c r="O46">
        <f t="shared" si="14"/>
        <v>1</v>
      </c>
      <c r="Q46" t="e">
        <f>CONCATENATE(I46," &amp; ",J46, " &amp; ", ROUND(#REF!,2), " &amp; ",#REF!, " &amp; ",#REF!, " &amp; ",  ROUND(#REF!,2), " &amp; ",#REF!, " &amp; ",#REF!, " &amp; ", ROUND(#REF!,2), " &amp; ",#REF!, " &amp; ",#REF!, " &amp; ",  ROUND(K46,2), " &amp; ", L46, "\\")</f>
        <v>#REF!</v>
      </c>
    </row>
    <row r="47" spans="1:17" x14ac:dyDescent="0.2">
      <c r="A47" t="s">
        <v>0</v>
      </c>
      <c r="B47" t="s">
        <v>10</v>
      </c>
      <c r="C47" t="s">
        <v>11</v>
      </c>
      <c r="D47" t="s">
        <v>12</v>
      </c>
      <c r="E47" t="s">
        <v>13</v>
      </c>
      <c r="I47" t="str">
        <f t="shared" si="16"/>
        <v>pard400_9</v>
      </c>
      <c r="J47">
        <v>12</v>
      </c>
      <c r="K47">
        <f t="shared" si="11"/>
        <v>600.00862789153996</v>
      </c>
      <c r="L47">
        <f t="shared" si="12"/>
        <v>75</v>
      </c>
      <c r="N47">
        <f t="shared" si="13"/>
        <v>0</v>
      </c>
      <c r="O47">
        <f t="shared" si="14"/>
        <v>1</v>
      </c>
      <c r="Q47" t="e">
        <f>CONCATENATE(I47," &amp; ",J47, " &amp; ", ROUND(#REF!,2), " &amp; ",#REF!, " &amp; ",#REF!, " &amp; ",  ROUND(#REF!,2), " &amp; ",#REF!, " &amp; ",#REF!, " &amp; ", ROUND(#REF!,2), " &amp; ",#REF!, " &amp; ",#REF!, " &amp; ",  ROUND(K47,2), " &amp; ", L47, "\\")</f>
        <v>#REF!</v>
      </c>
    </row>
    <row r="48" spans="1:17" x14ac:dyDescent="0.2">
      <c r="A48" t="s">
        <v>47</v>
      </c>
      <c r="B48">
        <v>12</v>
      </c>
      <c r="C48" t="s">
        <v>32</v>
      </c>
      <c r="D48" t="s">
        <v>16</v>
      </c>
      <c r="E48">
        <v>600.04266881942704</v>
      </c>
      <c r="F48">
        <v>60</v>
      </c>
      <c r="I48" t="str">
        <f t="shared" si="16"/>
        <v>pard400_9</v>
      </c>
      <c r="J48">
        <v>400</v>
      </c>
      <c r="K48">
        <f t="shared" si="11"/>
        <v>600.03750419616699</v>
      </c>
      <c r="L48">
        <f t="shared" si="12"/>
        <v>59</v>
      </c>
      <c r="N48">
        <f t="shared" si="13"/>
        <v>0</v>
      </c>
      <c r="O48">
        <f t="shared" si="14"/>
        <v>1</v>
      </c>
      <c r="Q48" t="e">
        <f>CONCATENATE(I48," &amp; ","nc", " &amp; ", ROUND(#REF!,2), " &amp; ",#REF!, " &amp; ",#REF!, " &amp; ",  ROUND(#REF!,2), " &amp; ",#REF!, " &amp; ",#REF!, " &amp; ", ROUND(#REF!,2), " &amp; ",#REF!, " &amp; ",#REF!, " &amp; ",  ROUND(K48,2), " &amp; ", L48, "\\")</f>
        <v>#REF!</v>
      </c>
    </row>
    <row r="49" spans="1:17" x14ac:dyDescent="0.2">
      <c r="A49" t="s">
        <v>0</v>
      </c>
      <c r="B49" t="s">
        <v>10</v>
      </c>
      <c r="C49" t="s">
        <v>11</v>
      </c>
      <c r="D49" t="s">
        <v>12</v>
      </c>
      <c r="E49" t="s">
        <v>13</v>
      </c>
      <c r="I49" t="str">
        <f>CONCATENATE($I$1,"10")</f>
        <v>pard400_10</v>
      </c>
      <c r="J49">
        <v>6</v>
      </c>
      <c r="K49">
        <f t="shared" si="11"/>
        <v>600.01434588432301</v>
      </c>
      <c r="L49">
        <f t="shared" si="12"/>
        <v>60</v>
      </c>
      <c r="N49">
        <f t="shared" si="13"/>
        <v>0</v>
      </c>
      <c r="O49">
        <f t="shared" si="14"/>
        <v>1</v>
      </c>
      <c r="Q49" t="e">
        <f>CONCATENATE(I49," &amp; ",J49, " &amp; ", ROUND(#REF!,2), " &amp; ",#REF!, " &amp; ",#REF!, " &amp; ",  ROUND(#REF!,2), " &amp; ",#REF!, " &amp; ",#REF!, " &amp; ", ROUND(#REF!,2), " &amp; ",#REF!, " &amp; ",#REF!, " &amp; ",  ROUND(K49,2), " &amp; ", L49, "\\")</f>
        <v>#REF!</v>
      </c>
    </row>
    <row r="50" spans="1:17" x14ac:dyDescent="0.2">
      <c r="A50" t="s">
        <v>47</v>
      </c>
      <c r="B50">
        <v>400</v>
      </c>
      <c r="C50" t="s">
        <v>32</v>
      </c>
      <c r="D50" t="s">
        <v>16</v>
      </c>
      <c r="E50">
        <v>600.11009502410798</v>
      </c>
      <c r="F50">
        <v>16</v>
      </c>
      <c r="I50" s="2" t="str">
        <f t="shared" ref="I50:I53" si="17">CONCATENATE($I$1,"10")</f>
        <v>pard400_10</v>
      </c>
      <c r="J50" s="2">
        <v>8</v>
      </c>
      <c r="K50" s="2">
        <f t="shared" si="11"/>
        <v>600.00241184234596</v>
      </c>
      <c r="L50">
        <f t="shared" si="12"/>
        <v>46</v>
      </c>
      <c r="N50">
        <f t="shared" si="13"/>
        <v>0</v>
      </c>
      <c r="O50">
        <f t="shared" si="14"/>
        <v>1</v>
      </c>
      <c r="Q50" t="e">
        <f>CONCATENATE(I50," &amp; ",J50, " &amp; ", ROUND(#REF!,2), " &amp; ",#REF!, " &amp; ",#REF!, " &amp; ",  ROUND(#REF!,2), " &amp; ",#REF!, " &amp; ",#REF!, " &amp; ", ROUND(#REF!,2), " &amp; ",#REF!, " &amp; ",#REF!, " &amp; ",  ROUND(K50,2), " &amp; ", L50, "\\")</f>
        <v>#REF!</v>
      </c>
    </row>
    <row r="51" spans="1:17" x14ac:dyDescent="0.2">
      <c r="A51" t="s">
        <v>0</v>
      </c>
      <c r="B51" t="s">
        <v>10</v>
      </c>
      <c r="C51" t="s">
        <v>11</v>
      </c>
      <c r="D51" t="s">
        <v>12</v>
      </c>
      <c r="E51" t="s">
        <v>13</v>
      </c>
      <c r="I51" t="str">
        <f t="shared" si="17"/>
        <v>pard400_10</v>
      </c>
      <c r="J51">
        <v>10</v>
      </c>
      <c r="K51">
        <f t="shared" si="11"/>
        <v>600.079761028289</v>
      </c>
      <c r="L51">
        <f t="shared" si="12"/>
        <v>47</v>
      </c>
      <c r="N51">
        <f t="shared" si="13"/>
        <v>0</v>
      </c>
      <c r="O51">
        <f t="shared" si="14"/>
        <v>1</v>
      </c>
      <c r="Q51" t="e">
        <f>CONCATENATE(I51," &amp; ",J51, " &amp; ", ROUND(#REF!,2), " &amp; ",#REF!, " &amp; ",#REF!, " &amp; ",  ROUND(#REF!,2), " &amp; ",#REF!, " &amp; ",#REF!, " &amp; ", ROUND(#REF!,2), " &amp; ",#REF!, " &amp; ",#REF!, " &amp; ",  ROUND(K51,2), " &amp; ", L51, "\\")</f>
        <v>#REF!</v>
      </c>
    </row>
    <row r="52" spans="1:17" x14ac:dyDescent="0.2">
      <c r="A52" t="s">
        <v>48</v>
      </c>
      <c r="B52">
        <v>6</v>
      </c>
      <c r="C52" t="s">
        <v>32</v>
      </c>
      <c r="D52" t="s">
        <v>16</v>
      </c>
      <c r="E52">
        <v>600.05046105384804</v>
      </c>
      <c r="F52">
        <v>35</v>
      </c>
      <c r="I52" t="str">
        <f t="shared" si="17"/>
        <v>pard400_10</v>
      </c>
      <c r="J52">
        <v>12</v>
      </c>
      <c r="K52">
        <f t="shared" si="11"/>
        <v>600.02912616729702</v>
      </c>
      <c r="L52">
        <f t="shared" si="12"/>
        <v>47</v>
      </c>
      <c r="N52">
        <f t="shared" si="13"/>
        <v>0</v>
      </c>
      <c r="O52">
        <f t="shared" si="14"/>
        <v>1</v>
      </c>
      <c r="Q52" t="e">
        <f>CONCATENATE(I52," &amp; ",J52, " &amp; ", ROUND(#REF!,2), " &amp; ",#REF!, " &amp; ",#REF!, " &amp; ",  ROUND(#REF!,2), " &amp; ",#REF!, " &amp; ",#REF!, " &amp; ", ROUND(#REF!,2), " &amp; ",#REF!, " &amp; ",#REF!, " &amp; ",  ROUND(K52,2), " &amp; ", L52, "\\")</f>
        <v>#REF!</v>
      </c>
    </row>
    <row r="53" spans="1:17" x14ac:dyDescent="0.2">
      <c r="A53" t="s">
        <v>0</v>
      </c>
      <c r="B53" t="s">
        <v>10</v>
      </c>
      <c r="C53" t="s">
        <v>11</v>
      </c>
      <c r="D53" t="s">
        <v>12</v>
      </c>
      <c r="E53" t="s">
        <v>13</v>
      </c>
      <c r="I53" t="str">
        <f t="shared" si="17"/>
        <v>pard400_10</v>
      </c>
      <c r="J53">
        <v>400</v>
      </c>
      <c r="K53">
        <f t="shared" si="11"/>
        <v>600.05858993530205</v>
      </c>
      <c r="L53">
        <f t="shared" si="12"/>
        <v>12</v>
      </c>
      <c r="N53">
        <f t="shared" si="13"/>
        <v>0</v>
      </c>
      <c r="O53">
        <f t="shared" si="14"/>
        <v>1</v>
      </c>
      <c r="Q53" t="e">
        <f>CONCATENATE(I53," &amp; ","nc", " &amp; ", ROUND(#REF!,2), " &amp; ",#REF!, " &amp; ",#REF!, " &amp; ",  ROUND(#REF!,2), " &amp; ",#REF!, " &amp; ",#REF!, " &amp; ", ROUND(#REF!,2), " &amp; ",#REF!, " &amp; ",#REF!, " &amp; ",  ROUND(K53,2), " &amp; ", L53, "\\")</f>
        <v>#REF!</v>
      </c>
    </row>
    <row r="54" spans="1:17" x14ac:dyDescent="0.2">
      <c r="A54" t="s">
        <v>48</v>
      </c>
      <c r="B54">
        <v>8</v>
      </c>
      <c r="C54" t="s">
        <v>32</v>
      </c>
      <c r="D54" t="s">
        <v>16</v>
      </c>
      <c r="E54">
        <v>233.07311010360701</v>
      </c>
      <c r="F54">
        <v>17</v>
      </c>
    </row>
    <row r="55" spans="1:17" x14ac:dyDescent="0.2">
      <c r="A55" t="s">
        <v>0</v>
      </c>
      <c r="B55" t="s">
        <v>10</v>
      </c>
      <c r="C55" t="s">
        <v>11</v>
      </c>
      <c r="D55" t="s">
        <v>12</v>
      </c>
      <c r="E55" t="s">
        <v>13</v>
      </c>
    </row>
    <row r="56" spans="1:17" x14ac:dyDescent="0.2">
      <c r="A56" t="s">
        <v>48</v>
      </c>
      <c r="B56">
        <v>10</v>
      </c>
      <c r="C56" t="s">
        <v>32</v>
      </c>
      <c r="D56" t="s">
        <v>16</v>
      </c>
      <c r="E56">
        <v>600.01312899589504</v>
      </c>
      <c r="F56">
        <v>53</v>
      </c>
    </row>
    <row r="57" spans="1:17" x14ac:dyDescent="0.2">
      <c r="A57" t="s">
        <v>0</v>
      </c>
      <c r="B57" t="s">
        <v>10</v>
      </c>
      <c r="C57" t="s">
        <v>11</v>
      </c>
      <c r="D57" t="s">
        <v>12</v>
      </c>
      <c r="E57" t="s">
        <v>13</v>
      </c>
    </row>
    <row r="58" spans="1:17" x14ac:dyDescent="0.2">
      <c r="A58" t="s">
        <v>48</v>
      </c>
      <c r="B58">
        <v>12</v>
      </c>
      <c r="C58" t="s">
        <v>32</v>
      </c>
      <c r="D58" t="s">
        <v>16</v>
      </c>
      <c r="E58">
        <v>600.03408312797501</v>
      </c>
      <c r="F58">
        <v>53</v>
      </c>
    </row>
    <row r="59" spans="1:17" x14ac:dyDescent="0.2">
      <c r="A59" t="s">
        <v>0</v>
      </c>
      <c r="B59" t="s">
        <v>10</v>
      </c>
      <c r="C59" t="s">
        <v>11</v>
      </c>
      <c r="D59" t="s">
        <v>12</v>
      </c>
      <c r="E59" t="s">
        <v>13</v>
      </c>
    </row>
    <row r="60" spans="1:17" x14ac:dyDescent="0.2">
      <c r="A60" t="s">
        <v>48</v>
      </c>
      <c r="B60">
        <v>400</v>
      </c>
      <c r="C60" t="s">
        <v>32</v>
      </c>
      <c r="D60" t="s">
        <v>16</v>
      </c>
      <c r="E60">
        <v>600.05974388122502</v>
      </c>
      <c r="F60">
        <v>49</v>
      </c>
    </row>
    <row r="61" spans="1:17" x14ac:dyDescent="0.2">
      <c r="A61" t="s">
        <v>0</v>
      </c>
      <c r="B61" t="s">
        <v>10</v>
      </c>
      <c r="C61" t="s">
        <v>11</v>
      </c>
      <c r="D61" t="s">
        <v>12</v>
      </c>
      <c r="E61" t="s">
        <v>13</v>
      </c>
    </row>
    <row r="62" spans="1:17" x14ac:dyDescent="0.2">
      <c r="A62" t="s">
        <v>49</v>
      </c>
      <c r="B62">
        <v>6</v>
      </c>
      <c r="C62" t="s">
        <v>32</v>
      </c>
      <c r="D62" t="s">
        <v>16</v>
      </c>
      <c r="E62">
        <v>600.01851582527104</v>
      </c>
      <c r="F62">
        <v>46</v>
      </c>
    </row>
    <row r="63" spans="1:17" x14ac:dyDescent="0.2">
      <c r="A63" t="s">
        <v>0</v>
      </c>
      <c r="B63" t="s">
        <v>10</v>
      </c>
      <c r="C63" t="s">
        <v>11</v>
      </c>
      <c r="D63" t="s">
        <v>12</v>
      </c>
      <c r="E63" t="s">
        <v>13</v>
      </c>
    </row>
    <row r="64" spans="1:17" x14ac:dyDescent="0.2">
      <c r="A64" t="s">
        <v>49</v>
      </c>
      <c r="B64">
        <v>8</v>
      </c>
      <c r="C64" t="s">
        <v>32</v>
      </c>
      <c r="D64" t="s">
        <v>16</v>
      </c>
      <c r="E64">
        <v>600.03135895728997</v>
      </c>
      <c r="F64">
        <v>48</v>
      </c>
    </row>
    <row r="65" spans="1:6" x14ac:dyDescent="0.2">
      <c r="A65" t="s">
        <v>0</v>
      </c>
      <c r="B65" t="s">
        <v>10</v>
      </c>
      <c r="C65" t="s">
        <v>11</v>
      </c>
      <c r="D65" t="s">
        <v>12</v>
      </c>
      <c r="E65" t="s">
        <v>13</v>
      </c>
    </row>
    <row r="66" spans="1:6" x14ac:dyDescent="0.2">
      <c r="A66" t="s">
        <v>49</v>
      </c>
      <c r="B66">
        <v>10</v>
      </c>
      <c r="C66" t="s">
        <v>32</v>
      </c>
      <c r="D66" t="s">
        <v>16</v>
      </c>
      <c r="E66">
        <v>600.00863504409699</v>
      </c>
      <c r="F66">
        <v>59</v>
      </c>
    </row>
    <row r="67" spans="1:6" x14ac:dyDescent="0.2">
      <c r="A67" t="s">
        <v>0</v>
      </c>
      <c r="B67" t="s">
        <v>10</v>
      </c>
      <c r="C67" t="s">
        <v>11</v>
      </c>
      <c r="D67" t="s">
        <v>12</v>
      </c>
      <c r="E67" t="s">
        <v>13</v>
      </c>
    </row>
    <row r="68" spans="1:6" x14ac:dyDescent="0.2">
      <c r="A68" t="s">
        <v>49</v>
      </c>
      <c r="B68">
        <v>12</v>
      </c>
      <c r="C68" t="s">
        <v>32</v>
      </c>
      <c r="D68" t="s">
        <v>16</v>
      </c>
      <c r="E68">
        <v>600.01748895645096</v>
      </c>
      <c r="F68">
        <v>66</v>
      </c>
    </row>
    <row r="69" spans="1:6" x14ac:dyDescent="0.2">
      <c r="A69" t="s">
        <v>0</v>
      </c>
      <c r="B69" t="s">
        <v>10</v>
      </c>
      <c r="C69" t="s">
        <v>11</v>
      </c>
      <c r="D69" t="s">
        <v>12</v>
      </c>
      <c r="E69" t="s">
        <v>13</v>
      </c>
    </row>
    <row r="70" spans="1:6" x14ac:dyDescent="0.2">
      <c r="A70" t="s">
        <v>49</v>
      </c>
      <c r="B70">
        <v>400</v>
      </c>
      <c r="C70" t="s">
        <v>32</v>
      </c>
      <c r="D70" t="s">
        <v>16</v>
      </c>
      <c r="E70">
        <v>600.02619504928498</v>
      </c>
      <c r="F70">
        <v>50</v>
      </c>
    </row>
    <row r="71" spans="1:6" x14ac:dyDescent="0.2">
      <c r="A71" t="s">
        <v>0</v>
      </c>
      <c r="B71" t="s">
        <v>10</v>
      </c>
      <c r="C71" t="s">
        <v>11</v>
      </c>
      <c r="D71" t="s">
        <v>12</v>
      </c>
      <c r="E71" t="s">
        <v>13</v>
      </c>
    </row>
    <row r="72" spans="1:6" x14ac:dyDescent="0.2">
      <c r="A72" t="s">
        <v>50</v>
      </c>
      <c r="B72">
        <v>6</v>
      </c>
      <c r="C72" t="s">
        <v>32</v>
      </c>
      <c r="D72" t="s">
        <v>16</v>
      </c>
      <c r="E72">
        <v>600.10259485244706</v>
      </c>
      <c r="F72">
        <v>40</v>
      </c>
    </row>
    <row r="73" spans="1:6" x14ac:dyDescent="0.2">
      <c r="A73" t="s">
        <v>0</v>
      </c>
      <c r="B73" t="s">
        <v>10</v>
      </c>
      <c r="C73" t="s">
        <v>11</v>
      </c>
      <c r="D73" t="s">
        <v>12</v>
      </c>
      <c r="E73" t="s">
        <v>13</v>
      </c>
    </row>
    <row r="74" spans="1:6" x14ac:dyDescent="0.2">
      <c r="A74" t="s">
        <v>50</v>
      </c>
      <c r="B74">
        <v>8</v>
      </c>
      <c r="C74" t="s">
        <v>32</v>
      </c>
      <c r="D74" t="s">
        <v>16</v>
      </c>
      <c r="E74">
        <v>600.01347088813702</v>
      </c>
      <c r="F74">
        <v>40</v>
      </c>
    </row>
    <row r="75" spans="1:6" x14ac:dyDescent="0.2">
      <c r="A75" t="s">
        <v>0</v>
      </c>
      <c r="B75" t="s">
        <v>10</v>
      </c>
      <c r="C75" t="s">
        <v>11</v>
      </c>
      <c r="D75" t="s">
        <v>12</v>
      </c>
      <c r="E75" t="s">
        <v>13</v>
      </c>
    </row>
    <row r="76" spans="1:6" x14ac:dyDescent="0.2">
      <c r="A76" t="s">
        <v>50</v>
      </c>
      <c r="B76">
        <v>10</v>
      </c>
      <c r="C76" t="s">
        <v>32</v>
      </c>
      <c r="D76" t="s">
        <v>16</v>
      </c>
      <c r="E76">
        <v>600.06944799423195</v>
      </c>
      <c r="F76">
        <v>49</v>
      </c>
    </row>
    <row r="77" spans="1:6" x14ac:dyDescent="0.2">
      <c r="A77" t="s">
        <v>0</v>
      </c>
      <c r="B77" t="s">
        <v>10</v>
      </c>
      <c r="C77" t="s">
        <v>11</v>
      </c>
      <c r="D77" t="s">
        <v>12</v>
      </c>
      <c r="E77" t="s">
        <v>13</v>
      </c>
    </row>
    <row r="78" spans="1:6" x14ac:dyDescent="0.2">
      <c r="A78" t="s">
        <v>50</v>
      </c>
      <c r="B78">
        <v>12</v>
      </c>
      <c r="C78" t="s">
        <v>32</v>
      </c>
      <c r="D78" t="s">
        <v>16</v>
      </c>
      <c r="E78">
        <v>600.16498494148198</v>
      </c>
      <c r="F78">
        <v>50</v>
      </c>
    </row>
    <row r="79" spans="1:6" x14ac:dyDescent="0.2">
      <c r="A79" t="s">
        <v>0</v>
      </c>
      <c r="B79" t="s">
        <v>10</v>
      </c>
      <c r="C79" t="s">
        <v>11</v>
      </c>
      <c r="D79" t="s">
        <v>12</v>
      </c>
      <c r="E79" t="s">
        <v>13</v>
      </c>
    </row>
    <row r="80" spans="1:6" x14ac:dyDescent="0.2">
      <c r="A80" t="s">
        <v>50</v>
      </c>
      <c r="B80">
        <v>400</v>
      </c>
      <c r="C80" t="s">
        <v>32</v>
      </c>
      <c r="D80" t="s">
        <v>16</v>
      </c>
      <c r="E80">
        <v>600.04160499572697</v>
      </c>
      <c r="F80">
        <v>12</v>
      </c>
    </row>
    <row r="81" spans="1:6" x14ac:dyDescent="0.2">
      <c r="A81" t="s">
        <v>0</v>
      </c>
      <c r="B81" t="s">
        <v>10</v>
      </c>
      <c r="C81" t="s">
        <v>11</v>
      </c>
      <c r="D81" t="s">
        <v>12</v>
      </c>
      <c r="E81" t="s">
        <v>13</v>
      </c>
    </row>
    <row r="82" spans="1:6" x14ac:dyDescent="0.2">
      <c r="A82" t="s">
        <v>51</v>
      </c>
      <c r="B82">
        <v>6</v>
      </c>
      <c r="C82" t="s">
        <v>32</v>
      </c>
      <c r="D82" t="s">
        <v>16</v>
      </c>
      <c r="E82">
        <v>600.04160499572697</v>
      </c>
      <c r="F82">
        <v>41</v>
      </c>
    </row>
    <row r="83" spans="1:6" x14ac:dyDescent="0.2">
      <c r="A83" t="s">
        <v>0</v>
      </c>
      <c r="B83" t="s">
        <v>10</v>
      </c>
      <c r="C83" t="s">
        <v>11</v>
      </c>
      <c r="D83" t="s">
        <v>12</v>
      </c>
      <c r="E83" t="s">
        <v>13</v>
      </c>
    </row>
    <row r="84" spans="1:6" x14ac:dyDescent="0.2">
      <c r="A84" t="s">
        <v>51</v>
      </c>
      <c r="B84">
        <v>8</v>
      </c>
      <c r="C84" t="s">
        <v>32</v>
      </c>
      <c r="D84" t="s">
        <v>16</v>
      </c>
      <c r="E84">
        <v>600.01122689247097</v>
      </c>
      <c r="F84">
        <v>50</v>
      </c>
    </row>
    <row r="85" spans="1:6" x14ac:dyDescent="0.2">
      <c r="A85" t="s">
        <v>0</v>
      </c>
      <c r="B85" t="s">
        <v>10</v>
      </c>
      <c r="C85" t="s">
        <v>11</v>
      </c>
      <c r="D85" t="s">
        <v>12</v>
      </c>
      <c r="E85" t="s">
        <v>13</v>
      </c>
    </row>
    <row r="86" spans="1:6" x14ac:dyDescent="0.2">
      <c r="A86" t="s">
        <v>51</v>
      </c>
      <c r="B86">
        <v>10</v>
      </c>
      <c r="C86" t="s">
        <v>32</v>
      </c>
      <c r="D86" t="s">
        <v>16</v>
      </c>
      <c r="E86">
        <v>600.02538108825604</v>
      </c>
      <c r="F86">
        <v>37</v>
      </c>
    </row>
    <row r="87" spans="1:6" x14ac:dyDescent="0.2">
      <c r="A87" t="s">
        <v>0</v>
      </c>
      <c r="B87" t="s">
        <v>10</v>
      </c>
      <c r="C87" t="s">
        <v>11</v>
      </c>
      <c r="D87" t="s">
        <v>12</v>
      </c>
      <c r="E87" t="s">
        <v>13</v>
      </c>
    </row>
    <row r="88" spans="1:6" x14ac:dyDescent="0.2">
      <c r="A88" t="s">
        <v>51</v>
      </c>
      <c r="B88">
        <v>12</v>
      </c>
      <c r="C88" t="s">
        <v>32</v>
      </c>
      <c r="D88" t="s">
        <v>16</v>
      </c>
      <c r="E88">
        <v>600.00862789153996</v>
      </c>
      <c r="F88">
        <v>75</v>
      </c>
    </row>
    <row r="89" spans="1:6" x14ac:dyDescent="0.2">
      <c r="A89" t="s">
        <v>0</v>
      </c>
      <c r="B89" t="s">
        <v>10</v>
      </c>
      <c r="C89" t="s">
        <v>11</v>
      </c>
      <c r="D89" t="s">
        <v>12</v>
      </c>
      <c r="E89" t="s">
        <v>13</v>
      </c>
    </row>
    <row r="90" spans="1:6" x14ac:dyDescent="0.2">
      <c r="A90" t="s">
        <v>51</v>
      </c>
      <c r="B90">
        <v>400</v>
      </c>
      <c r="C90" t="s">
        <v>32</v>
      </c>
      <c r="D90" t="s">
        <v>16</v>
      </c>
      <c r="E90">
        <v>600.03750419616699</v>
      </c>
      <c r="F90">
        <v>59</v>
      </c>
    </row>
    <row r="91" spans="1:6" x14ac:dyDescent="0.2">
      <c r="A91" t="s">
        <v>0</v>
      </c>
      <c r="B91" t="s">
        <v>10</v>
      </c>
      <c r="C91" t="s">
        <v>11</v>
      </c>
      <c r="D91" t="s">
        <v>12</v>
      </c>
      <c r="E91" t="s">
        <v>13</v>
      </c>
    </row>
    <row r="92" spans="1:6" x14ac:dyDescent="0.2">
      <c r="A92" t="s">
        <v>52</v>
      </c>
      <c r="B92">
        <v>6</v>
      </c>
      <c r="C92" t="s">
        <v>32</v>
      </c>
      <c r="D92" t="s">
        <v>16</v>
      </c>
      <c r="E92">
        <v>600.01434588432301</v>
      </c>
      <c r="F92">
        <v>60</v>
      </c>
    </row>
    <row r="93" spans="1:6" x14ac:dyDescent="0.2">
      <c r="A93" t="s">
        <v>0</v>
      </c>
      <c r="B93" t="s">
        <v>10</v>
      </c>
      <c r="C93" t="s">
        <v>11</v>
      </c>
      <c r="D93" t="s">
        <v>12</v>
      </c>
      <c r="E93" t="s">
        <v>13</v>
      </c>
    </row>
    <row r="94" spans="1:6" x14ac:dyDescent="0.2">
      <c r="A94" t="s">
        <v>52</v>
      </c>
      <c r="B94">
        <v>8</v>
      </c>
      <c r="C94" t="s">
        <v>32</v>
      </c>
      <c r="D94" t="s">
        <v>16</v>
      </c>
      <c r="E94">
        <v>600.00241184234596</v>
      </c>
      <c r="F94">
        <v>46</v>
      </c>
    </row>
    <row r="95" spans="1:6" x14ac:dyDescent="0.2">
      <c r="A95" t="s">
        <v>0</v>
      </c>
      <c r="B95" t="s">
        <v>10</v>
      </c>
      <c r="C95" t="s">
        <v>11</v>
      </c>
      <c r="D95" t="s">
        <v>12</v>
      </c>
      <c r="E95" t="s">
        <v>13</v>
      </c>
    </row>
    <row r="96" spans="1:6" x14ac:dyDescent="0.2">
      <c r="A96" t="s">
        <v>52</v>
      </c>
      <c r="B96">
        <v>10</v>
      </c>
      <c r="C96" t="s">
        <v>32</v>
      </c>
      <c r="D96" t="s">
        <v>16</v>
      </c>
      <c r="E96">
        <v>600.079761028289</v>
      </c>
      <c r="F96">
        <v>47</v>
      </c>
    </row>
    <row r="97" spans="1:6" x14ac:dyDescent="0.2">
      <c r="A97" t="s">
        <v>0</v>
      </c>
      <c r="B97" t="s">
        <v>10</v>
      </c>
      <c r="C97" t="s">
        <v>11</v>
      </c>
      <c r="D97" t="s">
        <v>12</v>
      </c>
      <c r="E97" t="s">
        <v>13</v>
      </c>
    </row>
    <row r="98" spans="1:6" x14ac:dyDescent="0.2">
      <c r="A98" t="s">
        <v>52</v>
      </c>
      <c r="B98">
        <v>12</v>
      </c>
      <c r="C98" t="s">
        <v>32</v>
      </c>
      <c r="D98" t="s">
        <v>16</v>
      </c>
      <c r="E98">
        <v>600.02912616729702</v>
      </c>
      <c r="F98">
        <v>47</v>
      </c>
    </row>
    <row r="99" spans="1:6" x14ac:dyDescent="0.2">
      <c r="A99" t="s">
        <v>0</v>
      </c>
      <c r="B99" t="s">
        <v>10</v>
      </c>
      <c r="C99" t="s">
        <v>11</v>
      </c>
      <c r="D99" t="s">
        <v>12</v>
      </c>
      <c r="E99" t="s">
        <v>13</v>
      </c>
    </row>
    <row r="100" spans="1:6" x14ac:dyDescent="0.2">
      <c r="A100" t="s">
        <v>52</v>
      </c>
      <c r="B100">
        <v>400</v>
      </c>
      <c r="C100" t="s">
        <v>32</v>
      </c>
      <c r="D100" t="s">
        <v>16</v>
      </c>
      <c r="E100">
        <v>600.05858993530205</v>
      </c>
      <c r="F100">
        <v>12</v>
      </c>
    </row>
    <row r="370" spans="10:10" x14ac:dyDescent="0.2">
      <c r="J370" s="3"/>
    </row>
    <row r="372" spans="10:10" x14ac:dyDescent="0.2">
      <c r="J372" s="3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F18"/>
  <sheetViews>
    <sheetView tabSelected="1" zoomScale="124" workbookViewId="0">
      <selection activeCell="D17" sqref="D17"/>
    </sheetView>
  </sheetViews>
  <sheetFormatPr baseColWidth="10" defaultRowHeight="16" x14ac:dyDescent="0.2"/>
  <cols>
    <col min="6" max="6" width="20" bestFit="1" customWidth="1"/>
  </cols>
  <sheetData>
    <row r="2" spans="2:6" x14ac:dyDescent="0.2">
      <c r="D2" t="s">
        <v>1</v>
      </c>
    </row>
    <row r="3" spans="2:6" x14ac:dyDescent="0.2">
      <c r="B3" t="s">
        <v>0</v>
      </c>
      <c r="C3" t="s">
        <v>5</v>
      </c>
      <c r="D3" t="s">
        <v>3</v>
      </c>
      <c r="E3" t="s">
        <v>2</v>
      </c>
      <c r="F3" t="s">
        <v>31</v>
      </c>
    </row>
    <row r="4" spans="2:6" x14ac:dyDescent="0.2">
      <c r="B4" t="s">
        <v>7</v>
      </c>
      <c r="C4">
        <v>6</v>
      </c>
      <c r="D4" s="1">
        <f>AVERAGEIFS('200_+'!K:K,'200_+'!$J:$J,Overall!$C4)</f>
        <v>255.51928365230529</v>
      </c>
      <c r="E4">
        <f>AVERAGEIFS('200_+'!L:L,'200_+'!$J:$J,Overall!$C4)</f>
        <v>92.3</v>
      </c>
      <c r="F4">
        <f>10-COUNTIFS('200_+'!K:K,"&lt;600.00",'200_+'!$J:$J,Overall!$C4)</f>
        <v>1</v>
      </c>
    </row>
    <row r="5" spans="2:6" x14ac:dyDescent="0.2">
      <c r="B5" t="s">
        <v>7</v>
      </c>
      <c r="C5">
        <v>8</v>
      </c>
      <c r="D5" s="1">
        <f>AVERAGEIFS('200_+'!K:K,'200_+'!$J:$J,Overall!$C5)</f>
        <v>272.2469197511669</v>
      </c>
      <c r="E5">
        <f>AVERAGEIFS('200_+'!L:L,'200_+'!$J:$J,Overall!$C5)</f>
        <v>98.4</v>
      </c>
      <c r="F5">
        <f>10-COUNTIFS('200_+'!K:K,"&lt;600.00",'200_+'!$J:$J,Overall!$C5)</f>
        <v>1</v>
      </c>
    </row>
    <row r="6" spans="2:6" x14ac:dyDescent="0.2">
      <c r="B6" t="s">
        <v>7</v>
      </c>
      <c r="C6">
        <v>10</v>
      </c>
      <c r="D6" s="1">
        <f>AVERAGEIFS('200_+'!K:K,'200_+'!$J:$J,Overall!$C6)</f>
        <v>375.1665081501003</v>
      </c>
      <c r="E6">
        <f>AVERAGEIFS('200_+'!L:L,'200_+'!$J:$J,Overall!$C6)</f>
        <v>116.4</v>
      </c>
      <c r="F6">
        <f>10-COUNTIFS('200_+'!K:K,"&lt;600.00",'200_+'!$J:$J,Overall!$C6)</f>
        <v>3</v>
      </c>
    </row>
    <row r="7" spans="2:6" x14ac:dyDescent="0.2">
      <c r="B7" t="s">
        <v>7</v>
      </c>
      <c r="C7">
        <v>12</v>
      </c>
      <c r="D7" s="1">
        <f>AVERAGEIFS('200_+'!K:K,'200_+'!$J:$J,Overall!$C7)</f>
        <v>447.85196757316555</v>
      </c>
      <c r="E7">
        <f>AVERAGEIFS('200_+'!L:L,'200_+'!$J:$J,Overall!$C7)</f>
        <v>216</v>
      </c>
      <c r="F7">
        <f>10-COUNTIFS('200_+'!K:K,"&lt;600.00",'200_+'!$J:$J,Overall!$C7)</f>
        <v>6</v>
      </c>
    </row>
    <row r="8" spans="2:6" x14ac:dyDescent="0.2">
      <c r="B8" t="s">
        <v>7</v>
      </c>
      <c r="C8">
        <v>200</v>
      </c>
      <c r="D8" s="1">
        <f>AVERAGEIFS('200_+'!K:K,'200_+'!$J:$J,Overall!$C8)</f>
        <v>600.00647921562154</v>
      </c>
      <c r="E8">
        <f>AVERAGEIFS('200_+'!L:L,'200_+'!$J:$J,Overall!$C8)</f>
        <v>332.1</v>
      </c>
      <c r="F8">
        <f>10-COUNTIFS('200_+'!K:K,"&lt;600.00",'200_+'!$J:$J,Overall!$C8)</f>
        <v>10</v>
      </c>
    </row>
    <row r="9" spans="2:6" x14ac:dyDescent="0.2">
      <c r="B9" t="s">
        <v>28</v>
      </c>
      <c r="C9">
        <v>6</v>
      </c>
      <c r="D9" s="1">
        <f>AVERAGEIFS('300_+'!K:K,'300_+'!$J:$J,Overall!$C9)</f>
        <v>573.38557257652246</v>
      </c>
      <c r="E9">
        <f>AVERAGEIFS('300_+'!L:L,'300_+'!$J:$J,Overall!$C9)</f>
        <v>92</v>
      </c>
      <c r="F9">
        <f>10-COUNTIFS('300_+'!K:K,"&lt;600.00",'300_+'!$J:$J,Overall!$C9)</f>
        <v>9</v>
      </c>
    </row>
    <row r="10" spans="2:6" x14ac:dyDescent="0.2">
      <c r="B10" t="s">
        <v>28</v>
      </c>
      <c r="C10">
        <v>8</v>
      </c>
      <c r="D10" s="1">
        <f>AVERAGEIFS('300_+'!K:K,'300_+'!$J:$J,Overall!$C10)</f>
        <v>578.42888996601062</v>
      </c>
      <c r="E10">
        <f>AVERAGEIFS('300_+'!L:L,'300_+'!$J:$J,Overall!$C10)</f>
        <v>89.2</v>
      </c>
      <c r="F10">
        <f>10-COUNTIFS('300_+'!K:K,"&lt;600.00",'300_+'!$J:$J,Overall!$C10)</f>
        <v>9</v>
      </c>
    </row>
    <row r="11" spans="2:6" x14ac:dyDescent="0.2">
      <c r="B11" t="s">
        <v>28</v>
      </c>
      <c r="C11">
        <v>10</v>
      </c>
      <c r="D11" s="1">
        <f>AVERAGEIFS('300_+'!K:K,'300_+'!$J:$J,Overall!$C11)</f>
        <v>600.01954531669571</v>
      </c>
      <c r="E11">
        <f>AVERAGEIFS('300_+'!L:L,'300_+'!$J:$J,Overall!$C11)</f>
        <v>92.1</v>
      </c>
      <c r="F11">
        <f>10-COUNTIFS('300_+'!K:K,"&lt;600.00",'300_+'!$J:$J,Overall!$C11)</f>
        <v>10</v>
      </c>
    </row>
    <row r="12" spans="2:6" x14ac:dyDescent="0.2">
      <c r="B12" t="s">
        <v>28</v>
      </c>
      <c r="C12">
        <v>12</v>
      </c>
      <c r="D12" s="1">
        <f>AVERAGEIFS('300_+'!K:K,'300_+'!$J:$J,Overall!$C12)</f>
        <v>575.64991059303247</v>
      </c>
      <c r="E12">
        <f>AVERAGEIFS('300_+'!L:L,'300_+'!$J:$J,Overall!$C12)</f>
        <v>117.3</v>
      </c>
      <c r="F12">
        <f>10-COUNTIFS('300_+'!K:K,"&lt;600.00",'300_+'!$J:$J,Overall!$C12)</f>
        <v>9</v>
      </c>
    </row>
    <row r="13" spans="2:6" x14ac:dyDescent="0.2">
      <c r="B13" t="s">
        <v>28</v>
      </c>
      <c r="C13">
        <v>300</v>
      </c>
      <c r="D13" s="1">
        <f>AVERAGEIFS('300_+'!K:K,'300_+'!$J:$J,Overall!$C13)</f>
        <v>600.02600438594789</v>
      </c>
      <c r="E13">
        <f>AVERAGEIFS('300_+'!L:L,'300_+'!$J:$J,Overall!$C13)</f>
        <v>108.5</v>
      </c>
      <c r="F13">
        <f>10-COUNTIFS('300_+'!K:K,"&lt;600.00",'300_+'!$J:$J,Overall!$C13)</f>
        <v>10</v>
      </c>
    </row>
    <row r="14" spans="2:6" x14ac:dyDescent="0.2">
      <c r="B14" t="s">
        <v>30</v>
      </c>
      <c r="C14">
        <v>6</v>
      </c>
      <c r="D14" s="1">
        <f>AVERAGEIFS('400_+'!K:K,'400_+'!$J:$J,Overall!$C14)</f>
        <v>569.38607087135267</v>
      </c>
      <c r="E14">
        <f>AVERAGEIFS('400_+'!L:L,'400_+'!$J:$J,Overall!$C14)</f>
        <v>43.3</v>
      </c>
      <c r="F14">
        <f>10-COUNTIFS('400_+'!K:K,"&lt;600.00",'400_+'!$J:$J,Overall!$C14)</f>
        <v>9</v>
      </c>
    </row>
    <row r="15" spans="2:6" x14ac:dyDescent="0.2">
      <c r="B15" t="s">
        <v>30</v>
      </c>
      <c r="C15">
        <v>8</v>
      </c>
      <c r="D15" s="1">
        <f>AVERAGEIFS('400_+'!K:K,'400_+'!$J:$J,Overall!$C15)</f>
        <v>563.33137574195825</v>
      </c>
      <c r="E15">
        <f>AVERAGEIFS('400_+'!L:L,'400_+'!$J:$J,Overall!$C15)</f>
        <v>45.1</v>
      </c>
      <c r="F15">
        <f>10-COUNTIFS('400_+'!K:K,"&lt;600.00",'400_+'!$J:$J,Overall!$C15)</f>
        <v>9</v>
      </c>
    </row>
    <row r="16" spans="2:6" x14ac:dyDescent="0.2">
      <c r="B16" t="s">
        <v>30</v>
      </c>
      <c r="C16">
        <v>10</v>
      </c>
      <c r="D16" s="1">
        <f>AVERAGEIFS('400_+'!K:K,'400_+'!$J:$J,Overall!$C16)</f>
        <v>562.3729837179178</v>
      </c>
      <c r="E16">
        <f>AVERAGEIFS('400_+'!L:L,'400_+'!$J:$J,Overall!$C16)</f>
        <v>45.7</v>
      </c>
      <c r="F16">
        <f>10-COUNTIFS('400_+'!K:K,"&lt;600.00",'400_+'!$J:$J,Overall!$C16)</f>
        <v>9</v>
      </c>
    </row>
    <row r="17" spans="2:6" x14ac:dyDescent="0.2">
      <c r="B17" t="s">
        <v>30</v>
      </c>
      <c r="C17">
        <v>12</v>
      </c>
      <c r="D17" s="1">
        <f>AVERAGEIFS('400_+'!K:K,'400_+'!$J:$J,Overall!$C17)</f>
        <v>593.75672581195772</v>
      </c>
      <c r="E17">
        <f>AVERAGEIFS('400_+'!L:L,'400_+'!$J:$J,Overall!$C17)</f>
        <v>58.3</v>
      </c>
      <c r="F17">
        <f>10-COUNTIFS('400_+'!K:K,"&lt;600.00",'400_+'!$J:$J,Overall!$C17)</f>
        <v>9</v>
      </c>
    </row>
    <row r="18" spans="2:6" x14ac:dyDescent="0.2">
      <c r="B18" t="s">
        <v>30</v>
      </c>
      <c r="C18">
        <v>400</v>
      </c>
      <c r="D18" s="1">
        <f>AVERAGEIFS('400_+'!K:K,'400_+'!$J:$J,Overall!$C18)</f>
        <v>600.04853992462097</v>
      </c>
      <c r="E18">
        <f>AVERAGEIFS('400_+'!L:L,'400_+'!$J:$J,Overall!$C18)</f>
        <v>41.4</v>
      </c>
      <c r="F18">
        <f>10-COUNTIFS('400_+'!K:K,"&lt;600.00",'400_+'!$J:$J,Overall!$C18)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200_+</vt:lpstr>
      <vt:lpstr>300_+</vt:lpstr>
      <vt:lpstr>400_+</vt:lpstr>
      <vt:lpstr>Overall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Cory-Wright</dc:creator>
  <cp:lastModifiedBy>Microsoft Office User</cp:lastModifiedBy>
  <dcterms:created xsi:type="dcterms:W3CDTF">2019-08-05T19:00:03Z</dcterms:created>
  <dcterms:modified xsi:type="dcterms:W3CDTF">2021-03-14T20:34:31Z</dcterms:modified>
</cp:coreProperties>
</file>